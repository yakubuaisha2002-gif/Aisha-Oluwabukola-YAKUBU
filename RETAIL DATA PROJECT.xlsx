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yakub\Downloads\"/>
    </mc:Choice>
  </mc:AlternateContent>
  <xr:revisionPtr revIDLastSave="0" documentId="13_ncr:1_{0F990509-0949-4E65-A5FA-605C7D24F963}" xr6:coauthVersionLast="47" xr6:coauthVersionMax="47" xr10:uidLastSave="{00000000-0000-0000-0000-000000000000}"/>
  <bookViews>
    <workbookView xWindow="-110" yWindow="-110" windowWidth="19420" windowHeight="11020" firstSheet="3" activeTab="5" xr2:uid="{00000000-000D-0000-FFFF-FFFF00000000}"/>
  </bookViews>
  <sheets>
    <sheet name="SumofSalesbyCategory" sheetId="2" r:id="rId1"/>
    <sheet name="Profit by Region" sheetId="3" r:id="rId2"/>
    <sheet name="Monthly sales trend" sheetId="4" r:id="rId3"/>
    <sheet name="Top 10 Products Bar Chart" sheetId="7" r:id="rId4"/>
    <sheet name="Retail_Data" sheetId="1" r:id="rId5"/>
    <sheet name="Dashboard" sheetId="8" r:id="rId6"/>
  </sheets>
  <definedNames>
    <definedName name="_xlnm._FilterDatabase" localSheetId="4" hidden="1">Retail_Data!$A$1:$J$1001</definedName>
    <definedName name="Slicer_Category">#N/A</definedName>
    <definedName name="Slicer_Months__Order_Date">#N/A</definedName>
    <definedName name="Slicer_Product">#N/A</definedName>
    <definedName name="Slicer_Profit">#N/A</definedName>
    <definedName name="Slicer_Region">#N/A</definedName>
    <definedName name="Slicer_Sales">#N/A</definedName>
    <definedName name="Slicer_Sales1">#N/A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002" i="1" l="1"/>
  <c r="J1002" i="1"/>
  <c r="G1002" i="1"/>
</calcChain>
</file>

<file path=xl/sharedStrings.xml><?xml version="1.0" encoding="utf-8"?>
<sst xmlns="http://schemas.openxmlformats.org/spreadsheetml/2006/main" count="5049" uniqueCount="1045">
  <si>
    <t>Order_ID</t>
  </si>
  <si>
    <t>Order_Date</t>
  </si>
  <si>
    <t>Customer_Segment</t>
  </si>
  <si>
    <t>Region</t>
  </si>
  <si>
    <t>Category</t>
  </si>
  <si>
    <t>Product</t>
  </si>
  <si>
    <t>Sales</t>
  </si>
  <si>
    <t>Quantity</t>
  </si>
  <si>
    <t>Discount</t>
  </si>
  <si>
    <t>Profit</t>
  </si>
  <si>
    <t>ORD0001</t>
  </si>
  <si>
    <t>Corporate</t>
  </si>
  <si>
    <t>East</t>
  </si>
  <si>
    <t>Furniture</t>
  </si>
  <si>
    <t>Laptop</t>
  </si>
  <si>
    <t>ORD0002</t>
  </si>
  <si>
    <t>Consumer</t>
  </si>
  <si>
    <t>North</t>
  </si>
  <si>
    <t>Office Supplies</t>
  </si>
  <si>
    <t>Paper</t>
  </si>
  <si>
    <t>ORD0003</t>
  </si>
  <si>
    <t>Home Office</t>
  </si>
  <si>
    <t>South</t>
  </si>
  <si>
    <t>Technology</t>
  </si>
  <si>
    <t>Phone</t>
  </si>
  <si>
    <t>ORD0004</t>
  </si>
  <si>
    <t>Printer</t>
  </si>
  <si>
    <t>ORD0005</t>
  </si>
  <si>
    <t>West</t>
  </si>
  <si>
    <t>ORD0006</t>
  </si>
  <si>
    <t>ORD0007</t>
  </si>
  <si>
    <t>Desk</t>
  </si>
  <si>
    <t>ORD0008</t>
  </si>
  <si>
    <t>Chair</t>
  </si>
  <si>
    <t>ORD0009</t>
  </si>
  <si>
    <t>ORD0010</t>
  </si>
  <si>
    <t>ORD0011</t>
  </si>
  <si>
    <t>ORD0012</t>
  </si>
  <si>
    <t>ORD0013</t>
  </si>
  <si>
    <t>ORD0014</t>
  </si>
  <si>
    <t>Router</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</si>
  <si>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</si>
  <si>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</si>
  <si>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</si>
  <si>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</si>
  <si>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</si>
  <si>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</si>
  <si>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</si>
  <si>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</si>
  <si>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</si>
  <si>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</si>
  <si>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</si>
  <si>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</si>
  <si>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</si>
  <si>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</si>
  <si>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</si>
  <si>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</si>
  <si>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</si>
  <si>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</si>
  <si>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</si>
  <si>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</si>
  <si>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</si>
  <si>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</si>
  <si>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</si>
  <si>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</si>
  <si>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</si>
  <si>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</si>
  <si>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</si>
  <si>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</si>
  <si>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</si>
  <si>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</si>
  <si>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</si>
  <si>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</si>
  <si>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</si>
  <si>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</si>
  <si>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</si>
  <si>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</si>
  <si>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</si>
  <si>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</si>
  <si>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</si>
  <si>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</si>
  <si>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</si>
  <si>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</si>
  <si>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</si>
  <si>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</si>
  <si>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</si>
  <si>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</si>
  <si>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</si>
  <si>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</si>
  <si>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</si>
  <si>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</si>
  <si>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</si>
  <si>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</si>
  <si>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</si>
  <si>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</si>
  <si>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</si>
  <si>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</si>
  <si>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</si>
  <si>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</si>
  <si>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</si>
  <si>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</si>
  <si>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</si>
  <si>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</si>
  <si>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</si>
  <si>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</si>
  <si>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</si>
  <si>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</si>
  <si>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</si>
  <si>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</si>
  <si>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</si>
  <si>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</si>
  <si>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</si>
  <si>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</si>
  <si>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</si>
  <si>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</si>
  <si>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</si>
  <si>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</si>
  <si>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</si>
  <si>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</si>
  <si>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</si>
  <si>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</si>
  <si>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</si>
  <si>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</si>
  <si>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</si>
  <si>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</si>
  <si>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</si>
  <si>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</si>
  <si>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</si>
  <si>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</si>
  <si>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</si>
  <si>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</si>
  <si>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</si>
  <si>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</si>
  <si>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</si>
  <si>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</si>
  <si>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</si>
  <si>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</si>
  <si>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</si>
  <si>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</si>
  <si>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</si>
  <si>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</si>
  <si>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</si>
  <si>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</si>
  <si>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</si>
  <si>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</si>
  <si>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</si>
  <si>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</si>
  <si>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</si>
  <si>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</si>
  <si>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</si>
  <si>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</si>
  <si>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</si>
  <si>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</si>
  <si>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</si>
  <si>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</si>
  <si>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</si>
  <si>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</si>
  <si>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</si>
  <si>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</si>
  <si>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</si>
  <si>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</si>
  <si>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</si>
  <si>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</si>
  <si>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</si>
  <si>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</si>
  <si>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</si>
  <si>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</si>
  <si>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</si>
  <si>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</si>
  <si>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</si>
  <si>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</si>
  <si>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</si>
  <si>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</si>
  <si>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</si>
  <si>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</si>
  <si>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</si>
  <si>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</si>
  <si>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</si>
  <si>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</si>
  <si>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</si>
  <si>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</si>
  <si>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</si>
  <si>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</si>
  <si>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</si>
  <si>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</si>
  <si>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</si>
  <si>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</si>
  <si>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</si>
  <si>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</si>
  <si>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</si>
  <si>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</si>
  <si>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</si>
  <si>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</si>
  <si>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</si>
  <si>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</si>
  <si>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</si>
  <si>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</si>
  <si>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</si>
  <si>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</si>
  <si>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</si>
  <si>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</si>
  <si>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</si>
  <si>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</si>
  <si>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</si>
  <si>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</si>
  <si>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</si>
  <si>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</si>
  <si>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</si>
  <si>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</si>
  <si>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</si>
  <si>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</si>
  <si>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</si>
  <si>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</si>
  <si>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</si>
  <si>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</si>
  <si>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</si>
  <si>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</si>
  <si>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</si>
  <si>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</si>
  <si>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</si>
  <si>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</si>
  <si>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</si>
  <si>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</si>
  <si>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</si>
  <si>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</si>
  <si>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</si>
  <si>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</si>
  <si>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</si>
  <si>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</si>
  <si>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</si>
  <si>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</si>
  <si>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</si>
  <si>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</si>
  <si>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</si>
  <si>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</si>
  <si>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</si>
  <si>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</si>
  <si>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</si>
  <si>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</si>
  <si>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</si>
  <si>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</si>
  <si>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</si>
  <si>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</si>
  <si>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</si>
  <si>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</si>
  <si>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</si>
  <si>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</si>
  <si>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</si>
  <si>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</si>
  <si>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</si>
  <si>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</si>
  <si>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</si>
  <si>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</si>
  <si>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</si>
  <si>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</si>
  <si>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</si>
  <si>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</si>
  <si>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</si>
  <si>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</si>
  <si>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</si>
  <si>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</si>
  <si>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</si>
  <si>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</si>
  <si>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</si>
  <si>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</si>
  <si>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</si>
  <si>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</si>
  <si>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</si>
  <si>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</si>
  <si>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</si>
  <si>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</si>
  <si>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</si>
  <si>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</si>
  <si>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</si>
  <si>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</si>
  <si>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</si>
  <si>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</si>
  <si>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</si>
  <si>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</si>
  <si>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</si>
  <si>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</si>
  <si>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</si>
  <si>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</si>
  <si>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</si>
  <si>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</si>
  <si>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</si>
  <si>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</si>
  <si>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</si>
  <si>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</si>
  <si>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</si>
  <si>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</si>
  <si>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</si>
  <si>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</si>
  <si>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</si>
  <si>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</si>
  <si>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</si>
  <si>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</si>
  <si>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</si>
  <si>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</si>
  <si>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</si>
  <si>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</si>
  <si>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</si>
  <si>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</si>
  <si>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</si>
  <si>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</si>
  <si>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</si>
  <si>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</si>
  <si>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</si>
  <si>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</si>
  <si>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</si>
  <si>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</si>
  <si>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</si>
  <si>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</si>
  <si>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</si>
  <si>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</si>
  <si>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</si>
  <si>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</si>
  <si>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</si>
  <si>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</si>
  <si>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</si>
  <si>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</si>
  <si>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</si>
  <si>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</si>
  <si>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</si>
  <si>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</si>
  <si>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</si>
  <si>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</si>
  <si>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</si>
  <si>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</si>
  <si>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</si>
  <si>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</si>
  <si>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</si>
  <si>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</si>
  <si>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</si>
  <si>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</si>
  <si>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</si>
  <si>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</si>
  <si>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</si>
  <si>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</si>
  <si>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</si>
  <si>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</si>
  <si>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</si>
  <si>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</si>
  <si>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</si>
  <si>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</si>
  <si>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</si>
  <si>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</si>
  <si>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</si>
  <si>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</si>
  <si>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</si>
  <si>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</si>
  <si>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</si>
  <si>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</si>
  <si>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</si>
  <si>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</si>
  <si>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</si>
  <si>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</si>
  <si>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</si>
  <si>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</si>
  <si>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</si>
  <si>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</si>
  <si>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</si>
  <si>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</si>
  <si>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</si>
  <si>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</si>
  <si>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</si>
  <si>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</si>
  <si>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</si>
  <si>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</si>
  <si>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</si>
  <si>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</si>
  <si>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</si>
  <si>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</si>
  <si>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</si>
  <si>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</si>
  <si>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</si>
  <si>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</si>
  <si>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</si>
  <si>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</si>
  <si>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</si>
  <si>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</si>
  <si>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</si>
  <si>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</si>
  <si>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</si>
  <si>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</si>
  <si>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</si>
  <si>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</si>
  <si>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</si>
  <si>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</si>
  <si>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</si>
  <si>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</si>
  <si>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</si>
  <si>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</si>
  <si>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</si>
  <si>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</si>
  <si>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</si>
  <si>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</si>
  <si>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</si>
  <si>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</si>
  <si>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</si>
  <si>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</si>
  <si>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</si>
  <si>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</si>
  <si>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</si>
  <si>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</si>
  <si>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</si>
  <si>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</si>
  <si>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</si>
  <si>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</si>
  <si>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</si>
  <si>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</si>
  <si>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</si>
  <si>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</si>
  <si>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</si>
  <si>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</si>
  <si>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</si>
  <si>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</si>
  <si>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</si>
  <si>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</si>
  <si>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</si>
  <si>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</si>
  <si>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</si>
  <si>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</si>
  <si>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</si>
  <si>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</si>
  <si>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</si>
  <si>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</si>
  <si>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</si>
  <si>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</si>
  <si>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</si>
  <si>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</si>
  <si>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</si>
  <si>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</si>
  <si>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</si>
  <si>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</si>
  <si>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</si>
  <si>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</si>
  <si>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</si>
  <si>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</si>
  <si>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</si>
  <si>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</si>
  <si>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</si>
  <si>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</si>
  <si>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</si>
  <si>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</si>
  <si>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</si>
  <si>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</si>
  <si>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</si>
  <si>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</si>
  <si>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</si>
  <si>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</si>
  <si>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</si>
  <si>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</si>
  <si>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</si>
  <si>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</si>
  <si>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</si>
  <si>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</si>
  <si>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</si>
  <si>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</si>
  <si>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</si>
  <si>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</si>
  <si>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</si>
  <si>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</si>
  <si>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</si>
  <si>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</si>
  <si>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</si>
  <si>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</si>
  <si>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</si>
  <si>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</si>
  <si>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</si>
  <si>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</si>
  <si>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</si>
  <si>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</si>
  <si>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</si>
  <si>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</si>
  <si>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</si>
  <si>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</si>
  <si>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</si>
  <si>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</si>
  <si>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</si>
  <si>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</si>
  <si>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</si>
  <si>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</si>
  <si>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</si>
  <si>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</si>
  <si>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</si>
  <si>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</si>
  <si>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</si>
  <si>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</si>
  <si>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</si>
  <si>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</si>
  <si>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</si>
  <si>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</si>
  <si>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</si>
  <si>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</si>
  <si>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</si>
  <si>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</si>
  <si>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</si>
  <si>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</si>
  <si>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</si>
  <si>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</si>
  <si>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</si>
  <si>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</si>
  <si>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</si>
  <si>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</si>
  <si>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</si>
  <si>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</si>
  <si>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</si>
  <si>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</si>
  <si>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</si>
  <si>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</si>
  <si>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</si>
  <si>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</si>
  <si>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</si>
  <si>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</si>
  <si>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</si>
  <si>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</si>
  <si>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</si>
  <si>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</si>
  <si>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</si>
  <si>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</si>
  <si>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</si>
  <si>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</si>
  <si>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</si>
  <si>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</si>
  <si>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</si>
  <si>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</si>
  <si>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</si>
  <si>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</si>
  <si>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</si>
  <si>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</si>
  <si>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</si>
  <si>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</si>
  <si>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</si>
  <si>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</si>
  <si>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</si>
  <si>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</si>
  <si>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</si>
  <si>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</si>
  <si>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</si>
  <si>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</si>
  <si>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</si>
  <si>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</si>
  <si>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</si>
  <si>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</si>
  <si>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</si>
  <si>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</si>
  <si>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</si>
  <si>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</si>
  <si>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</si>
  <si>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</si>
  <si>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</si>
  <si>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</si>
  <si>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</si>
  <si>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</si>
  <si>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</si>
  <si>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</si>
  <si>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</si>
  <si>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</si>
  <si>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</si>
  <si>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</si>
  <si>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</si>
  <si>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</si>
  <si>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</si>
  <si>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</si>
  <si>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</si>
  <si>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</si>
  <si>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</si>
  <si>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</si>
  <si>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</si>
  <si>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</si>
  <si>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</si>
  <si>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</si>
  <si>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</si>
  <si>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</si>
  <si>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</si>
  <si>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</si>
  <si>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</si>
  <si>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</si>
  <si>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</si>
  <si>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</si>
  <si>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</si>
  <si>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</si>
  <si>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</si>
  <si>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</si>
  <si>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</si>
  <si>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</si>
  <si>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</si>
  <si>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</si>
  <si>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</si>
  <si>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</si>
  <si>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</si>
  <si>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</si>
  <si>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</si>
  <si>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</si>
  <si>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</si>
  <si>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</si>
  <si>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</si>
  <si>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</si>
  <si>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</si>
  <si>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</si>
  <si>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</si>
  <si>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</si>
  <si>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</si>
  <si>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</si>
  <si>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</si>
  <si>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</si>
  <si>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</si>
  <si>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</si>
  <si>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</si>
  <si>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</si>
  <si>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</si>
  <si>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</si>
  <si>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</si>
  <si>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</si>
  <si>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</si>
  <si>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</si>
  <si>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</si>
  <si>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</si>
  <si>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</si>
  <si>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</si>
  <si>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</si>
  <si>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</si>
  <si>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</si>
  <si>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</si>
  <si>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</si>
  <si>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</si>
  <si>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</si>
  <si>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</si>
  <si>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</si>
  <si>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</si>
  <si>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</si>
  <si>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</si>
  <si>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</si>
  <si>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</si>
  <si>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</si>
  <si>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</si>
  <si>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</si>
  <si>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</si>
  <si>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</si>
  <si>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</si>
  <si>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</si>
  <si>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</si>
  <si>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</si>
  <si>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</si>
  <si>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</si>
  <si>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</si>
  <si>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</si>
  <si>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</si>
  <si>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</si>
  <si>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</si>
  <si>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</si>
  <si>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</si>
  <si>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</si>
  <si>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</si>
  <si>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</si>
  <si>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</si>
  <si>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</si>
  <si>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</si>
  <si>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</si>
  <si>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</si>
  <si>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</si>
  <si>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</si>
  <si>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</si>
  <si>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</si>
  <si>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</si>
  <si>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</si>
  <si>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</si>
  <si>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</si>
  <si>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</si>
  <si>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</si>
  <si>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</si>
  <si>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</si>
  <si>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</si>
  <si>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</si>
  <si>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</si>
  <si>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</si>
  <si>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</si>
  <si>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</si>
  <si>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</si>
  <si>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</si>
  <si>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</si>
  <si>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</si>
  <si>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</si>
  <si>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</si>
  <si>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</si>
  <si>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</si>
  <si>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</si>
  <si>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</si>
  <si>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</si>
  <si>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</si>
  <si>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</si>
  <si>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</si>
  <si>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</si>
  <si>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</si>
  <si>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</si>
  <si>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</si>
  <si>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</si>
  <si>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</si>
  <si>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</si>
  <si>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</si>
  <si>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</si>
  <si>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</si>
  <si>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</si>
  <si>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</si>
  <si>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</si>
  <si>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</si>
  <si>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</si>
  <si>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</si>
  <si>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</si>
  <si>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</si>
  <si>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</si>
  <si>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</si>
  <si>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</si>
  <si>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</si>
  <si>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</si>
  <si>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</si>
  <si>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</si>
  <si>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</si>
  <si>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</si>
  <si>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</si>
  <si>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</si>
  <si>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</si>
  <si>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</si>
  <si>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</si>
  <si>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</si>
  <si>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</si>
  <si>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</si>
  <si>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</si>
  <si>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</si>
  <si>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</si>
  <si>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</si>
  <si>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</si>
  <si>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</si>
  <si>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</si>
  <si>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</si>
  <si>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</si>
  <si>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</si>
  <si>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</si>
  <si>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</si>
  <si>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</si>
  <si>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</si>
  <si>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</si>
  <si>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</si>
  <si>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</si>
  <si>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</si>
  <si>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</si>
  <si>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</si>
  <si>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</si>
  <si>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</si>
  <si>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</si>
  <si>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</si>
  <si>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</si>
  <si>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</si>
  <si>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</si>
  <si>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</si>
  <si>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</si>
  <si>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</si>
  <si>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</si>
  <si>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</si>
  <si>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</si>
  <si>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</si>
  <si>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</si>
  <si>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</si>
  <si>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</si>
  <si>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</si>
  <si>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</si>
  <si>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</si>
  <si>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</si>
  <si>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</si>
  <si>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</si>
  <si>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</si>
  <si>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</si>
  <si>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</si>
  <si>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</si>
  <si>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</si>
  <si>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</si>
  <si>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</si>
  <si>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</si>
  <si>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</si>
  <si>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</si>
  <si>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</si>
  <si>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</si>
  <si>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</si>
  <si>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</si>
  <si>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</si>
  <si>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</si>
  <si>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</si>
  <si>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</si>
  <si>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</si>
  <si>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</si>
  <si>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</si>
  <si>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</si>
  <si>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</si>
  <si>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</si>
  <si>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</si>
  <si>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</si>
  <si>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</si>
  <si>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</si>
  <si>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</si>
  <si>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</si>
  <si>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</si>
  <si>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</si>
  <si>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</si>
  <si>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</si>
  <si>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</si>
  <si>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</si>
  <si>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</si>
  <si>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</si>
  <si>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</si>
  <si>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</si>
  <si>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</si>
  <si>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</si>
  <si>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</si>
  <si>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</si>
  <si>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</si>
  <si>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</si>
  <si>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</si>
  <si>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</si>
  <si>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</si>
  <si>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</si>
  <si>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</si>
  <si>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</si>
  <si>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</si>
  <si>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</si>
  <si>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</si>
  <si>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</si>
  <si>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</si>
  <si>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</si>
  <si>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</si>
  <si>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</si>
  <si>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</si>
  <si>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</si>
  <si>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</si>
  <si>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</si>
  <si>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</si>
  <si>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</si>
  <si>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</si>
  <si>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</si>
  <si>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</si>
  <si>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</si>
  <si>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</si>
  <si>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</si>
  <si>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</si>
  <si>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</si>
  <si>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</si>
  <si>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</si>
  <si>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</si>
  <si>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</si>
  <si>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</si>
  <si>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</si>
  <si>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</si>
  <si>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</si>
  <si>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</si>
  <si>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</si>
  <si>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</si>
  <si>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</si>
  <si>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</si>
  <si>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</si>
  <si>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</si>
  <si>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</si>
  <si>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</si>
  <si>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</si>
  <si>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</si>
  <si>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</si>
  <si>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</si>
  <si>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</si>
  <si>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</si>
  <si>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</si>
  <si>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</si>
  <si>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</si>
  <si>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</si>
  <si>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</si>
  <si>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</si>
  <si>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</si>
  <si>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</si>
  <si>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</si>
  <si>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</si>
  <si>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</si>
  <si>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</si>
  <si>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</si>
  <si>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</si>
  <si>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</si>
  <si>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</si>
  <si>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</si>
  <si>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</si>
  <si>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</si>
  <si>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</si>
  <si>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</si>
  <si>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</si>
  <si>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</si>
  <si>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</si>
  <si>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</si>
  <si>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</si>
  <si>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</si>
  <si>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</si>
  <si>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</si>
  <si>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</si>
  <si>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</si>
  <si>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</si>
  <si>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</si>
  <si>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</si>
  <si>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</si>
  <si>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</si>
  <si>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</si>
  <si>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</si>
  <si>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</si>
  <si>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</si>
  <si>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</si>
  <si>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</si>
  <si>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</si>
  <si>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</si>
  <si>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</si>
  <si>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</si>
  <si>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</si>
  <si>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</si>
  <si>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</si>
  <si>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</si>
  <si>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</si>
  <si>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</si>
  <si>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</si>
  <si>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</si>
  <si>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</si>
  <si>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</si>
  <si>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</si>
  <si>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</si>
  <si>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</si>
  <si>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</si>
  <si>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</si>
  <si>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</si>
  <si>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</si>
  <si>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</si>
  <si>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</si>
  <si>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</si>
  <si>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</si>
  <si>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</si>
  <si>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</si>
  <si>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</si>
  <si>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</si>
  <si>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</si>
  <si>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</si>
  <si>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</si>
  <si>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</si>
  <si>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</si>
  <si>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</si>
  <si>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</si>
  <si>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</si>
  <si>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</si>
  <si>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</si>
  <si>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</si>
  <si>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</si>
  <si>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</si>
  <si>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</si>
  <si>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</si>
  <si>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</si>
  <si>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</si>
  <si>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</si>
  <si>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</si>
  <si>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</si>
  <si>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</si>
  <si>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</si>
  <si>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</si>
  <si>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</si>
  <si>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</si>
  <si>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</si>
  <si>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</si>
  <si>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</si>
  <si>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</si>
  <si>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</si>
  <si>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</si>
  <si>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</si>
  <si>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</si>
  <si>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</si>
  <si>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</si>
  <si>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</si>
  <si>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</si>
  <si>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</si>
  <si>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</si>
  <si>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</si>
  <si>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</si>
  <si>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</si>
  <si>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</si>
  <si>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</si>
  <si>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</si>
  <si>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</si>
  <si>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</si>
  <si>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</si>
  <si>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</si>
  <si>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</si>
  <si>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</si>
  <si>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</si>
  <si>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</si>
  <si>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</si>
  <si>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</si>
  <si>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</si>
  <si>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</si>
  <si>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</si>
  <si>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</si>
  <si>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</si>
  <si>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</si>
  <si>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</si>
  <si>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</si>
  <si>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</si>
  <si>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</si>
  <si>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</si>
  <si>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</si>
  <si>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</si>
  <si>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</si>
  <si>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</si>
  <si>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</si>
  <si>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</si>
  <si>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</si>
  <si>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</si>
  <si>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</si>
  <si>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</si>
  <si>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</si>
  <si>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</si>
  <si>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</si>
  <si>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</si>
  <si>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</si>
  <si>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</si>
  <si>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</si>
  <si>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</si>
  <si>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</si>
  <si>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</si>
  <si>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</si>
  <si>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</si>
  <si>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Row Labels</t>
  </si>
  <si>
    <t>Grand Total</t>
  </si>
  <si>
    <t>Sum of Sales</t>
  </si>
  <si>
    <t>Sum of Profit</t>
  </si>
  <si>
    <t>Jan</t>
  </si>
  <si>
    <t>Feb</t>
  </si>
  <si>
    <t>Mar</t>
  </si>
  <si>
    <t>Apr</t>
  </si>
  <si>
    <t>May</t>
  </si>
  <si>
    <t>Jun</t>
  </si>
  <si>
    <t>Jul</t>
  </si>
  <si>
    <t>Aug</t>
  </si>
  <si>
    <t>Sep</t>
  </si>
  <si>
    <t>Oct</t>
  </si>
  <si>
    <t>Nov</t>
  </si>
  <si>
    <t>Dec</t>
  </si>
  <si>
    <t>2024</t>
  </si>
  <si>
    <t>RETAIL SALES PERFORMANCE DASHBOARD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</si>
</sst>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468]\ * #,##0.00_-;\-[$₦-468]\ * #,##0.00_-;_-[$₦-468]\ * &quot;-&quot;??_-;_-@_-"/>
  </numFmts>
  <fonts count="8" x14ac:knownFonts="1">
    <font>
      <sz val="11"/>
      <color theme="1"/>
      <name val="Calibri"/>
      <family val="2"/>
      <scheme val="minor"/>
    </font>
    <font>
      <sz val="26"/>
      <color theme="1"/>
      <name val="Calibri"/>
      <family val="2"/>
      <scheme val="minor"/>
    </font>
    <font>
      <b/>
      <sz val="11"/>
      <color theme="3" tint="-0.249977111117893"/>
      <name val="Calibri"/>
      <family val="2"/>
      <scheme val="minor"/>
    </font>
    <font>
      <sz val="20"/>
      <color theme="1"/>
      <name val="Calibri"/>
      <family val="2"/>
      <scheme val="minor"/>
    </font>
    <font>
      <b/>
      <sz val="20"/>
      <color theme="1"/>
      <name val="Calibri"/>
      <family val="2"/>
      <scheme val="minor"/>
    </font>
    <font>
      <b/>
      <sz val="22"/>
      <color theme="1"/>
      <name val="Calibri"/>
      <family val="2"/>
      <scheme val="minor"/>
    </font>
    <font>
      <b/>
      <sz val="28"/>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164" fontId="0" fillId="0" borderId="0" xfId="0" applyNumberFormat="1"/>
    <xf numFmtId="2"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0" xfId="0" applyFont="1" applyFill="1" applyAlignment="1">
      <alignment horizontal="center"/>
    </xf>
    <xf numFmtId="0" fontId="0" fillId="2" borderId="0" xfId="0" applyFill="1" applyAlignment="1">
      <alignment horizontal="center"/>
    </xf>
    <xf numFmtId="2" fontId="0" fillId="2" borderId="0" xfId="0" applyNumberFormat="1" applyFill="1"/>
    <xf numFmtId="0" fontId="2" fillId="2" borderId="0" xfId="0" applyFont="1" applyFill="1" applyAlignment="1">
      <alignment horizontal="center"/>
    </xf>
    <xf numFmtId="165" fontId="4" fillId="2" borderId="0" xfId="0" applyNumberFormat="1" applyFont="1" applyFill="1" applyAlignment="1">
      <alignment horizontal="center"/>
    </xf>
    <xf numFmtId="0" fontId="2" fillId="2" borderId="0" xfId="0" applyFont="1" applyFill="1" applyAlignment="1">
      <alignment horizontal="center" wrapText="1"/>
    </xf>
    <xf numFmtId="165" fontId="4" fillId="2" borderId="0" xfId="0" applyNumberFormat="1" applyFont="1" applyFill="1" applyAlignment="1">
      <alignment horizontal="left"/>
    </xf>
    <xf numFmtId="0" fontId="7" fillId="2" borderId="0" xfId="0" applyFont="1" applyFill="1"/>
    <xf numFmtId="0" fontId="5" fillId="2" borderId="0" xfId="0" applyFont="1" applyFill="1"/>
    <xf numFmtId="165" fontId="5" fillId="2" borderId="0" xfId="0" applyNumberFormat="1" applyFont="1" applyFill="1"/>
    <xf numFmtId="0" fontId="3" fillId="2" borderId="0" xfId="0" applyFont="1" applyFill="1" applyAlignment="1">
      <alignment horizontal="center"/>
    </xf>
    <xf numFmtId="0" fontId="6"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Mr Umar.xlsx]SumofSalesbyCategory!PivotTable1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CATEGORY-2024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SumofSalesbyCategory!$B$3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11F-4630-BD59-0B3E671A257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11F-4630-BD59-0B3E671A257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11F-4630-BD59-0B3E671A25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SumofSalesbyCategory!$A$4:$A$7</c:f>
              <c:strCache>
                <c:ptCount val="3"/>
                <c:pt idx="0">
                  <c:v>Furniture</c:v>
                </c:pt>
                <c:pt idx="1">
                  <c:v>Office Supplies</c:v>
                </c:pt>
                <c:pt idx="2">
                  <c:v>Technology</c:v>
                </c:pt>
              </c:strCache>
            </c:strRef>
          </c:cat>
          <c:val>
            <c:numRef>
              <c:f>SumofSalesbyCategory!$B$4:$B$7</c:f>
              <c:numCache>
                <c:formatCode>0.00</c:formatCode>
                <c:ptCount val="3"/>
                <c:pt idx="0">
                  <c:v>23944635</c:v>
                </c:pt>
                <c:pt idx="1">
                  <c:v>28750992</c:v>
                </c:pt>
                <c:pt idx="2">
                  <c:v>24306818</c:v>
                </c:pt>
              </c:numCache>
            </c:numRef>
          </c:val>
          <c:extLst>
            <c:ext xmlns:c16="http://schemas.microsoft.com/office/drawing/2014/chart" uri="{C3380CC4-5D6E-409C-BE32-E72D297353CC}">
              <c16:uniqueId val="{00000000-3195-427F-98D7-ABFC9E0536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Mr Umar.xlsx]Profit by Region!PivotTable2</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Region'!$A$4:$A$8</c:f>
              <c:strCache>
                <c:ptCount val="4"/>
                <c:pt idx="0">
                  <c:v>East</c:v>
                </c:pt>
                <c:pt idx="1">
                  <c:v>North</c:v>
                </c:pt>
                <c:pt idx="2">
                  <c:v>South</c:v>
                </c:pt>
                <c:pt idx="3">
                  <c:v>West</c:v>
                </c:pt>
              </c:strCache>
            </c:strRef>
          </c:cat>
          <c:val>
            <c:numRef>
              <c:f>'Profit by Region'!$B$4:$B$8</c:f>
              <c:numCache>
                <c:formatCode>0.00</c:formatCode>
                <c:ptCount val="4"/>
                <c:pt idx="0">
                  <c:v>1539574.4500000002</c:v>
                </c:pt>
                <c:pt idx="1">
                  <c:v>1250369.3400000001</c:v>
                </c:pt>
                <c:pt idx="2">
                  <c:v>1769317.9400000013</c:v>
                </c:pt>
                <c:pt idx="3">
                  <c:v>1576587.3499999992</c:v>
                </c:pt>
              </c:numCache>
            </c:numRef>
          </c:val>
          <c:extLst>
            <c:ext xmlns:c16="http://schemas.microsoft.com/office/drawing/2014/chart" uri="{C3380CC4-5D6E-409C-BE32-E72D297353CC}">
              <c16:uniqueId val="{00000000-8E95-40CF-97B6-D017BEC13B5A}"/>
            </c:ext>
          </c:extLst>
        </c:ser>
        <c:dLbls>
          <c:showLegendKey val="0"/>
          <c:showVal val="0"/>
          <c:showCatName val="0"/>
          <c:showSerName val="0"/>
          <c:showPercent val="0"/>
          <c:showBubbleSize val="0"/>
        </c:dLbls>
        <c:gapWidth val="100"/>
        <c:overlap val="-24"/>
        <c:axId val="924619455"/>
        <c:axId val="924620895"/>
      </c:barChart>
      <c:catAx>
        <c:axId val="9246194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20895"/>
        <c:crosses val="autoZero"/>
        <c:auto val="1"/>
        <c:lblAlgn val="ctr"/>
        <c:lblOffset val="100"/>
        <c:noMultiLvlLbl val="0"/>
      </c:catAx>
      <c:valAx>
        <c:axId val="924620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468]\ * #,##0.00_-;\-[$₦-468]\ * #,##0.00_-;_-[$₦-468]\ *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1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Mr Umar.xlsx]Monthly sales trend!PivotTable1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 – 2024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'Monthly sales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'Monthly sales trend'!$B$4:$B$17</c:f>
              <c:numCache>
                <c:formatCode>0.00</c:formatCode>
                <c:ptCount val="12"/>
                <c:pt idx="0">
                  <c:v>6077166</c:v>
                </c:pt>
                <c:pt idx="1">
                  <c:v>5960920</c:v>
                </c:pt>
                <c:pt idx="2">
                  <c:v>6426323</c:v>
                </c:pt>
                <c:pt idx="3">
                  <c:v>7798244</c:v>
                </c:pt>
                <c:pt idx="4">
                  <c:v>6373300</c:v>
                </c:pt>
                <c:pt idx="5">
                  <c:v>6611670</c:v>
                </c:pt>
                <c:pt idx="6">
                  <c:v>5103108</c:v>
                </c:pt>
                <c:pt idx="7">
                  <c:v>7484395</c:v>
                </c:pt>
                <c:pt idx="8">
                  <c:v>5931128</c:v>
                </c:pt>
                <c:pt idx="9">
                  <c:v>7042079</c:v>
                </c:pt>
                <c:pt idx="10">
                  <c:v>5453750</c:v>
                </c:pt>
                <c:pt idx="11">
                  <c:v>6740362</c:v>
                </c:pt>
              </c:numCache>
            </c:numRef>
          </c:val>
          <c:smooth val="0"/>
          <c:extLst>
            <c:ext xmlns:c16="http://schemas.microsoft.com/office/drawing/2014/chart" uri="{C3380CC4-5D6E-409C-BE32-E72D297353CC}">
              <c16:uniqueId val="{00000000-0E63-440C-A615-DDB9605A83BA}"/>
            </c:ext>
          </c:extLst>
        </c:ser>
        <c:dLbls>
          <c:showLegendKey val="0"/>
          <c:showVal val="0"/>
          <c:showCatName val="0"/>
          <c:showSerName val="0"/>
          <c:showPercent val="0"/>
          <c:showBubbleSize val="0"/>
        </c:dLbls>
        <c:marker val="1"/>
        <c:smooth val="0"/>
        <c:axId val="1731089391"/>
        <c:axId val="1731095151"/>
      </c:lineChart>
      <c:catAx>
        <c:axId val="17310893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95151"/>
        <c:crosses val="autoZero"/>
        <c:auto val="1"/>
        <c:lblAlgn val="ctr"/>
        <c:lblOffset val="100"/>
        <c:noMultiLvlLbl val="0"/>
      </c:catAx>
      <c:valAx>
        <c:axId val="173109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468]\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Mr Umar.xlsx]Top 10 Products Bar Chart!PivotTable2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 BAR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Products Bar Chart'!$B$3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Products Bar Chart'!$A$4:$A$10</c:f>
              <c:strCache>
                <c:ptCount val="6"/>
                <c:pt idx="0">
                  <c:v>Phone</c:v>
                </c:pt>
                <c:pt idx="1">
                  <c:v>Desk</c:v>
                </c:pt>
                <c:pt idx="2">
                  <c:v>Paper</c:v>
                </c:pt>
                <c:pt idx="3">
                  <c:v>Printer</c:v>
                </c:pt>
                <c:pt idx="4">
                  <c:v>Laptop</c:v>
                </c:pt>
                <c:pt idx="5">
                  <c:v>Router</c:v>
                </c:pt>
              </c:strCache>
            </c:strRef>
          </c:cat>
          <c:val>
            <c:numRef>
              <c:f>'Top 10 Products Bar Chart'!$B$4:$B$10</c:f>
              <c:numCache>
                <c:formatCode>0.00</c:formatCode>
                <c:ptCount val="6"/>
                <c:pt idx="0">
                  <c:v>12125555</c:v>
                </c:pt>
                <c:pt idx="1">
                  <c:v>11592876</c:v>
                </c:pt>
                <c:pt idx="2">
                  <c:v>11137139</c:v>
                </c:pt>
                <c:pt idx="3">
                  <c:v>11088517</c:v>
                </c:pt>
                <c:pt idx="4">
                  <c:v>10579190</c:v>
                </c:pt>
                <c:pt idx="5">
                  <c:v>10047267</c:v>
                </c:pt>
              </c:numCache>
            </c:numRef>
          </c:val>
          <c:extLst>
            <c:ext xmlns:c16="http://schemas.microsoft.com/office/drawing/2014/chart" uri="{C3380CC4-5D6E-409C-BE32-E72D297353CC}">
              <c16:uniqueId val="{00000000-8D4D-4649-AFB7-7849E4FBCE8E}"/>
            </c:ext>
          </c:extLst>
        </c:ser>
        <c:dLbls>
          <c:showLegendKey val="0"/>
          <c:showVal val="0"/>
          <c:showCatName val="0"/>
          <c:showSerName val="0"/>
          <c:showPercent val="0"/>
          <c:showBubbleSize val="0"/>
        </c:dLbls>
        <c:gapWidth val="150"/>
        <c:overlap val="100"/>
        <c:axId val="1731098991"/>
        <c:axId val="1731082671"/>
      </c:barChart>
      <c:catAx>
        <c:axId val="17310989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PRODUCT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2671"/>
        <c:crosses val="autoZero"/>
        <c:auto val="1"/>
        <c:lblAlgn val="ctr"/>
        <c:lblOffset val="100"/>
        <c:noMultiLvlLbl val="0"/>
      </c:catAx>
      <c:valAx>
        <c:axId val="1731082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468]\ * #,##0.00_-;\-[$₦-468]\ * #,##0.00_-;_-[$₦-468]\ *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9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Mr Umar.xlsx]SumofSalesbyCategory!PivotTable1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CATEGORY-2024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083637840382549"/>
              <c:y val="0.15557540352587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21980206898093"/>
              <c:y val="0.176632631387536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SumofSalesbyCategory!$B$3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526-45F1-93E2-30F90B136C1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526-45F1-93E2-30F90B136C1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526-45F1-93E2-30F90B136C13}"/>
              </c:ext>
            </c:extLst>
          </c:dPt>
          <c:dLbls>
            <c:dLbl>
              <c:idx val="0"/>
              <c:layout>
                <c:manualLayout>
                  <c:x val="-0.14083637840382549"/>
                  <c:y val="0.1555754035258756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26-45F1-93E2-30F90B136C13}"/>
                </c:ext>
              </c:extLst>
            </c:dLbl>
            <c:dLbl>
              <c:idx val="2"/>
              <c:layout>
                <c:manualLayout>
                  <c:x val="0.16321980206898093"/>
                  <c:y val="0.1766326313875360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26-45F1-93E2-30F90B136C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SumofSalesbyCategory!$A$4:$A$7</c:f>
              <c:strCache>
                <c:ptCount val="3"/>
                <c:pt idx="0">
                  <c:v>Furniture</c:v>
                </c:pt>
                <c:pt idx="1">
                  <c:v>Office Supplies</c:v>
                </c:pt>
                <c:pt idx="2">
                  <c:v>Technology</c:v>
                </c:pt>
              </c:strCache>
            </c:strRef>
          </c:cat>
          <c:val>
            <c:numRef>
              <c:f>SumofSalesbyCategory!$B$4:$B$7</c:f>
              <c:numCache>
                <c:formatCode>0.00</c:formatCode>
                <c:ptCount val="3"/>
                <c:pt idx="0">
                  <c:v>23944635</c:v>
                </c:pt>
                <c:pt idx="1">
                  <c:v>28750992</c:v>
                </c:pt>
                <c:pt idx="2">
                  <c:v>24306818</c:v>
                </c:pt>
              </c:numCache>
            </c:numRef>
          </c:val>
          <c:extLst>
            <c:ext xmlns:c16="http://schemas.microsoft.com/office/drawing/2014/chart" uri="{C3380CC4-5D6E-409C-BE32-E72D297353CC}">
              <c16:uniqueId val="{00000006-0526-45F1-93E2-30F90B136C1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Mr Umar.xlsx]Top 10 Products Bar Chart!PivotTable2</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 BAR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Products Bar Chart'!$B$3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Products Bar Chart'!$A$4:$A$10</c:f>
              <c:strCache>
                <c:ptCount val="6"/>
                <c:pt idx="0">
                  <c:v>Phone</c:v>
                </c:pt>
                <c:pt idx="1">
                  <c:v>Desk</c:v>
                </c:pt>
                <c:pt idx="2">
                  <c:v>Paper</c:v>
                </c:pt>
                <c:pt idx="3">
                  <c:v>Printer</c:v>
                </c:pt>
                <c:pt idx="4">
                  <c:v>Laptop</c:v>
                </c:pt>
                <c:pt idx="5">
                  <c:v>Router</c:v>
                </c:pt>
              </c:strCache>
            </c:strRef>
          </c:cat>
          <c:val>
            <c:numRef>
              <c:f>'Top 10 Products Bar Chart'!$B$4:$B$10</c:f>
              <c:numCache>
                <c:formatCode>0.00</c:formatCode>
                <c:ptCount val="6"/>
                <c:pt idx="0">
                  <c:v>12125555</c:v>
                </c:pt>
                <c:pt idx="1">
                  <c:v>11592876</c:v>
                </c:pt>
                <c:pt idx="2">
                  <c:v>11137139</c:v>
                </c:pt>
                <c:pt idx="3">
                  <c:v>11088517</c:v>
                </c:pt>
                <c:pt idx="4">
                  <c:v>10579190</c:v>
                </c:pt>
                <c:pt idx="5">
                  <c:v>10047267</c:v>
                </c:pt>
              </c:numCache>
            </c:numRef>
          </c:val>
          <c:extLst>
            <c:ext xmlns:c16="http://schemas.microsoft.com/office/drawing/2014/chart" uri="{C3380CC4-5D6E-409C-BE32-E72D297353CC}">
              <c16:uniqueId val="{00000000-2345-49B5-8515-490B957E54A8}"/>
            </c:ext>
          </c:extLst>
        </c:ser>
        <c:dLbls>
          <c:showLegendKey val="0"/>
          <c:showVal val="0"/>
          <c:showCatName val="0"/>
          <c:showSerName val="0"/>
          <c:showPercent val="0"/>
          <c:showBubbleSize val="0"/>
        </c:dLbls>
        <c:gapWidth val="150"/>
        <c:overlap val="100"/>
        <c:axId val="1731098991"/>
        <c:axId val="1731082671"/>
      </c:barChart>
      <c:catAx>
        <c:axId val="17310989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PRODUCT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2671"/>
        <c:crosses val="autoZero"/>
        <c:auto val="1"/>
        <c:lblAlgn val="ctr"/>
        <c:lblOffset val="100"/>
        <c:noMultiLvlLbl val="0"/>
      </c:catAx>
      <c:valAx>
        <c:axId val="1731082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468]\ * #,##0.00_-;\-[$₦-468]\ * #,##0.00_-;_-[$₦-468]\ *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9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Mr Umar.xlsx]Monthly sales trend!PivotTable1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 – 2024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'Monthly sales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'Monthly sales trend'!$B$4:$B$17</c:f>
              <c:numCache>
                <c:formatCode>0.00</c:formatCode>
                <c:ptCount val="12"/>
                <c:pt idx="0">
                  <c:v>6077166</c:v>
                </c:pt>
                <c:pt idx="1">
                  <c:v>5960920</c:v>
                </c:pt>
                <c:pt idx="2">
                  <c:v>6426323</c:v>
                </c:pt>
                <c:pt idx="3">
                  <c:v>7798244</c:v>
                </c:pt>
                <c:pt idx="4">
                  <c:v>6373300</c:v>
                </c:pt>
                <c:pt idx="5">
                  <c:v>6611670</c:v>
                </c:pt>
                <c:pt idx="6">
                  <c:v>5103108</c:v>
                </c:pt>
                <c:pt idx="7">
                  <c:v>7484395</c:v>
                </c:pt>
                <c:pt idx="8">
                  <c:v>5931128</c:v>
                </c:pt>
                <c:pt idx="9">
                  <c:v>7042079</c:v>
                </c:pt>
                <c:pt idx="10">
                  <c:v>5453750</c:v>
                </c:pt>
                <c:pt idx="11">
                  <c:v>6740362</c:v>
                </c:pt>
              </c:numCache>
            </c:numRef>
          </c:val>
          <c:smooth val="0"/>
          <c:extLst>
            <c:ext xmlns:c16="http://schemas.microsoft.com/office/drawing/2014/chart" uri="{C3380CC4-5D6E-409C-BE32-E72D297353CC}">
              <c16:uniqueId val="{00000000-07E8-4183-B509-D0A3A8CC102F}"/>
            </c:ext>
          </c:extLst>
        </c:ser>
        <c:dLbls>
          <c:showLegendKey val="0"/>
          <c:showVal val="0"/>
          <c:showCatName val="0"/>
          <c:showSerName val="0"/>
          <c:showPercent val="0"/>
          <c:showBubbleSize val="0"/>
        </c:dLbls>
        <c:marker val="1"/>
        <c:smooth val="0"/>
        <c:axId val="1731089391"/>
        <c:axId val="1731095151"/>
      </c:lineChart>
      <c:catAx>
        <c:axId val="17310893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95151"/>
        <c:crosses val="autoZero"/>
        <c:auto val="1"/>
        <c:lblAlgn val="ctr"/>
        <c:lblOffset val="100"/>
        <c:noMultiLvlLbl val="0"/>
      </c:catAx>
      <c:valAx>
        <c:axId val="173109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468]\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Mr Umar.xlsx]Profit by Region!PivotTable2</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Region'!$A$4:$A$8</c:f>
              <c:strCache>
                <c:ptCount val="4"/>
                <c:pt idx="0">
                  <c:v>East</c:v>
                </c:pt>
                <c:pt idx="1">
                  <c:v>North</c:v>
                </c:pt>
                <c:pt idx="2">
                  <c:v>South</c:v>
                </c:pt>
                <c:pt idx="3">
                  <c:v>West</c:v>
                </c:pt>
              </c:strCache>
            </c:strRef>
          </c:cat>
          <c:val>
            <c:numRef>
              <c:f>'Profit by Region'!$B$4:$B$8</c:f>
              <c:numCache>
                <c:formatCode>0.00</c:formatCode>
                <c:ptCount val="4"/>
                <c:pt idx="0">
                  <c:v>1539574.4500000002</c:v>
                </c:pt>
                <c:pt idx="1">
                  <c:v>1250369.3400000001</c:v>
                </c:pt>
                <c:pt idx="2">
                  <c:v>1769317.9400000013</c:v>
                </c:pt>
                <c:pt idx="3">
                  <c:v>1576587.3499999992</c:v>
                </c:pt>
              </c:numCache>
            </c:numRef>
          </c:val>
          <c:extLst>
            <c:ext xmlns:c16="http://schemas.microsoft.com/office/drawing/2014/chart" uri="{C3380CC4-5D6E-409C-BE32-E72D297353CC}">
              <c16:uniqueId val="{00000000-0209-4166-9CA2-0BA4FF6379A0}"/>
            </c:ext>
          </c:extLst>
        </c:ser>
        <c:dLbls>
          <c:showLegendKey val="0"/>
          <c:showVal val="0"/>
          <c:showCatName val="0"/>
          <c:showSerName val="0"/>
          <c:showPercent val="0"/>
          <c:showBubbleSize val="0"/>
        </c:dLbls>
        <c:gapWidth val="100"/>
        <c:overlap val="-24"/>
        <c:axId val="924619455"/>
        <c:axId val="924620895"/>
      </c:barChart>
      <c:catAx>
        <c:axId val="9246194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20895"/>
        <c:crosses val="autoZero"/>
        <c:auto val="1"/>
        <c:lblAlgn val="ctr"/>
        <c:lblOffset val="100"/>
        <c:noMultiLvlLbl val="0"/>
      </c:catAx>
      <c:valAx>
        <c:axId val="924620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468]\ * #,##0.00_-;\-[$₦-468]\ * #,##0.00_-;_-[$₦-468]\ *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1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3175</xdr:colOff>
      <xdr:row>2</xdr:row>
      <xdr:rowOff>136525</xdr:rowOff>
    </xdr:from>
    <xdr:to>
      <xdr:col>10</xdr:col>
      <xdr:colOff>307975</xdr:colOff>
      <xdr:row>17</xdr:row>
      <xdr:rowOff>117475</xdr:rowOff>
    </xdr:to>
    <xdr:graphicFrame macro="">
      <xdr:nvGraphicFramePr>
        <xdr:cNvPr id="2" name="Chart 1">
          <a:extLst>
            <a:ext uri="{FF2B5EF4-FFF2-40B4-BE49-F238E27FC236}">
              <a16:creationId xmlns:a16="http://schemas.microsoft.com/office/drawing/2014/main" id="{A7A17582-FA6A-B028-0C1E-B6CACBC2F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104588</xdr:colOff>
      <xdr:row>7</xdr:row>
      <xdr:rowOff>122517</xdr:rowOff>
    </xdr:from>
    <xdr:to>
      <xdr:col>12</xdr:col>
      <xdr:colOff>388470</xdr:colOff>
      <xdr:row>22</xdr:row>
      <xdr:rowOff>64246</xdr:rowOff>
    </xdr:to>
    <xdr:graphicFrame macro="">
      <xdr:nvGraphicFramePr>
        <xdr:cNvPr id="5" name="Chart 4">
          <a:extLst>
            <a:ext uri="{FF2B5EF4-FFF2-40B4-BE49-F238E27FC236}">
              <a16:creationId xmlns:a16="http://schemas.microsoft.com/office/drawing/2014/main" id="{AED2163C-0D47-6198-EA54-D7098AE1F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444500</xdr:colOff>
      <xdr:row>2</xdr:row>
      <xdr:rowOff>161924</xdr:rowOff>
    </xdr:from>
    <xdr:to>
      <xdr:col>12</xdr:col>
      <xdr:colOff>114300</xdr:colOff>
      <xdr:row>19</xdr:row>
      <xdr:rowOff>133349</xdr:rowOff>
    </xdr:to>
    <xdr:graphicFrame macro="">
      <xdr:nvGraphicFramePr>
        <xdr:cNvPr id="2" name="Chart 1">
          <a:extLst>
            <a:ext uri="{FF2B5EF4-FFF2-40B4-BE49-F238E27FC236}">
              <a16:creationId xmlns:a16="http://schemas.microsoft.com/office/drawing/2014/main" id="{E5278E33-BAE7-839C-3CC1-F94956380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15874</xdr:colOff>
      <xdr:row>3</xdr:row>
      <xdr:rowOff>22225</xdr:rowOff>
    </xdr:from>
    <xdr:to>
      <xdr:col>11</xdr:col>
      <xdr:colOff>165099</xdr:colOff>
      <xdr:row>18</xdr:row>
      <xdr:rowOff>3175</xdr:rowOff>
    </xdr:to>
    <xdr:graphicFrame macro="">
      <xdr:nvGraphicFramePr>
        <xdr:cNvPr id="6" name="Chart 5">
          <a:extLst>
            <a:ext uri="{FF2B5EF4-FFF2-40B4-BE49-F238E27FC236}">
              <a16:creationId xmlns:a16="http://schemas.microsoft.com/office/drawing/2014/main" id="{D681AA7A-948C-A53F-E3A7-46648378E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1238250</xdr:colOff>
      <xdr:row>5</xdr:row>
      <xdr:rowOff>247650</xdr:rowOff>
    </xdr:from>
    <xdr:to>
      <xdr:col>7</xdr:col>
      <xdr:colOff>790057</xdr:colOff>
      <xdr:row>19</xdr:row>
      <xdr:rowOff>133350</xdr:rowOff>
    </xdr:to>
    <xdr:graphicFrame macro="">
      <xdr:nvGraphicFramePr>
        <xdr:cNvPr id="2" name="Chart 1">
          <a:extLst>
            <a:ext uri="{FF2B5EF4-FFF2-40B4-BE49-F238E27FC236}">
              <a16:creationId xmlns:a16="http://schemas.microsoft.com/office/drawing/2014/main" id="{475ABBCC-C53D-450C-8E27-8F7080219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871279</xdr:colOff>
      <xdr:row>5</xdr:row>
      <xdr:rowOff>247650</xdr:rowOff>
    </xdr:from>
    <xdr:to>
      <xdr:col>14</xdr:col>
      <xdr:colOff>165688</xdr:colOff>
      <xdr:row>19</xdr:row>
      <xdr:rowOff>133350</xdr:rowOff>
    </xdr:to>
    <xdr:graphicFrame macro="">
      <xdr:nvGraphicFramePr>
        <xdr:cNvPr id="3" name="Chart 2">
          <a:extLst>
            <a:ext uri="{FF2B5EF4-FFF2-40B4-BE49-F238E27FC236}">
              <a16:creationId xmlns:a16="http://schemas.microsoft.com/office/drawing/2014/main" id="{23FC08AF-BEFB-470F-87CF-A442438FE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1225550</xdr:colOff>
      <xdr:row>20</xdr:row>
      <xdr:rowOff>12700</xdr:rowOff>
    </xdr:from>
    <xdr:to>
      <xdr:col>7</xdr:col>
      <xdr:colOff>782675</xdr:colOff>
      <xdr:row>33</xdr:row>
      <xdr:rowOff>146050</xdr:rowOff>
    </xdr:to>
    <xdr:graphicFrame macro="">
      <xdr:nvGraphicFramePr>
        <xdr:cNvPr id="4" name="Chart 3">
          <a:extLst>
            <a:ext uri="{FF2B5EF4-FFF2-40B4-BE49-F238E27FC236}">
              <a16:creationId xmlns:a16="http://schemas.microsoft.com/office/drawing/2014/main" id="{479AE203-7551-4348-8F85-12C33DC78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877045</xdr:colOff>
      <xdr:row>20</xdr:row>
      <xdr:rowOff>19050</xdr:rowOff>
    </xdr:from>
    <xdr:to>
      <xdr:col>14</xdr:col>
      <xdr:colOff>147675</xdr:colOff>
      <xdr:row>33</xdr:row>
      <xdr:rowOff>146050</xdr:rowOff>
    </xdr:to>
    <xdr:graphicFrame macro="">
      <xdr:nvGraphicFramePr>
        <xdr:cNvPr id="5" name="Chart 4">
          <a:extLst>
            <a:ext uri="{FF2B5EF4-FFF2-40B4-BE49-F238E27FC236}">
              <a16:creationId xmlns:a16="http://schemas.microsoft.com/office/drawing/2014/main" id="{E3BBEB5A-6D62-425B-83A5-4A6F039A2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19050</xdr:colOff>
      <xdr:row>0</xdr:row>
      <xdr:rowOff>19050</xdr:rowOff>
    </xdr:from>
    <xdr:to>
      <xdr:col>2</xdr:col>
      <xdr:colOff>1238250</xdr:colOff>
      <xdr:row>12</xdr:row>
      <xdr:rowOff>15875</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4321C112-1302-F208-0945-668FF343DB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1899" y="19050"/>
              <a:ext cx="1832049" cy="2529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5</xdr:row>
      <xdr:rowOff>254000</xdr:rowOff>
    </xdr:from>
    <xdr:to>
      <xdr:col>2</xdr:col>
      <xdr:colOff>1231900</xdr:colOff>
      <xdr:row>19</xdr:row>
      <xdr:rowOff>53975</xdr:rowOff>
    </xdr:to>
    <mc:AlternateContent xmlns:mc="http://schemas.openxmlformats.org/markup-compatibility/2006" xmlns:a14="http://schemas.microsoft.com/office/drawing/2010/main">
      <mc:Choice Requires="a14">
        <xdr:graphicFrame macro="">
          <xdr:nvGraphicFramePr>
            <xdr:cNvPr id="21" name="Sales">
              <a:extLst>
                <a:ext uri="{FF2B5EF4-FFF2-40B4-BE49-F238E27FC236}">
                  <a16:creationId xmlns:a16="http://schemas.microsoft.com/office/drawing/2014/main" id="{E1347610-B04C-0FF7-42ED-BB1B239D85BD}"/>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25549" y="1346791"/>
              <a:ext cx="1832049" cy="2531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xdr:colOff>
      <xdr:row>19</xdr:row>
      <xdr:rowOff>6350</xdr:rowOff>
    </xdr:from>
    <xdr:to>
      <xdr:col>2</xdr:col>
      <xdr:colOff>1225550</xdr:colOff>
      <xdr:row>32</xdr:row>
      <xdr:rowOff>136525</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16FDA339-C0BE-B230-7FBE-A4669F6479E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19199" y="3831117"/>
              <a:ext cx="1832049" cy="2529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44</xdr:row>
      <xdr:rowOff>88900</xdr:rowOff>
    </xdr:from>
    <xdr:to>
      <xdr:col>2</xdr:col>
      <xdr:colOff>1231900</xdr:colOff>
      <xdr:row>58</xdr:row>
      <xdr:rowOff>34925</xdr:rowOff>
    </xdr:to>
    <mc:AlternateContent xmlns:mc="http://schemas.openxmlformats.org/markup-compatibility/2006" xmlns:a14="http://schemas.microsoft.com/office/drawing/2010/main">
      <mc:Choice Requires="a14">
        <xdr:graphicFrame macro="">
          <xdr:nvGraphicFramePr>
            <xdr:cNvPr id="23" name="Sales 1">
              <a:extLst>
                <a:ext uri="{FF2B5EF4-FFF2-40B4-BE49-F238E27FC236}">
                  <a16:creationId xmlns:a16="http://schemas.microsoft.com/office/drawing/2014/main" id="{D448A75B-E5D6-FA92-1332-D86311444388}"/>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625549" y="8528493"/>
              <a:ext cx="1832049" cy="2530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603250</xdr:colOff>
      <xdr:row>31</xdr:row>
      <xdr:rowOff>12700</xdr:rowOff>
    </xdr:from>
    <xdr:to>
      <xdr:col>2</xdr:col>
      <xdr:colOff>1212850</xdr:colOff>
      <xdr:row>44</xdr:row>
      <xdr:rowOff>142875</xdr:rowOff>
    </xdr:to>
    <mc:AlternateContent xmlns:mc="http://schemas.openxmlformats.org/markup-compatibility/2006" xmlns:a14="http://schemas.microsoft.com/office/drawing/2010/main">
      <mc:Choice Requires="a14">
        <xdr:graphicFrame macro="">
          <xdr:nvGraphicFramePr>
            <xdr:cNvPr id="24" name="Months (Order_Date)">
              <a:extLst>
                <a:ext uri="{FF2B5EF4-FFF2-40B4-BE49-F238E27FC236}">
                  <a16:creationId xmlns:a16="http://schemas.microsoft.com/office/drawing/2014/main" id="{D184362A-B450-AD02-CEF9-F1F337690C67}"/>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603250" y="6052584"/>
              <a:ext cx="1835298" cy="2529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xdr:colOff>
      <xdr:row>57</xdr:row>
      <xdr:rowOff>165100</xdr:rowOff>
    </xdr:from>
    <xdr:to>
      <xdr:col>2</xdr:col>
      <xdr:colOff>1225550</xdr:colOff>
      <xdr:row>71</xdr:row>
      <xdr:rowOff>111125</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D21718E8-1A0D-CA4C-7815-358C526A54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9199" y="11004402"/>
              <a:ext cx="1832049" cy="2530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65</xdr:row>
      <xdr:rowOff>76200</xdr:rowOff>
    </xdr:from>
    <xdr:to>
      <xdr:col>2</xdr:col>
      <xdr:colOff>1219200</xdr:colOff>
      <xdr:row>79</xdr:row>
      <xdr:rowOff>22225</xdr:rowOff>
    </xdr:to>
    <mc:AlternateContent xmlns:mc="http://schemas.openxmlformats.org/markup-compatibility/2006" xmlns:a14="http://schemas.microsoft.com/office/drawing/2010/main">
      <mc:Choice Requires="a14">
        <xdr:graphicFrame macro="">
          <xdr:nvGraphicFramePr>
            <xdr:cNvPr id="26" name="Profit">
              <a:extLst>
                <a:ext uri="{FF2B5EF4-FFF2-40B4-BE49-F238E27FC236}">
                  <a16:creationId xmlns:a16="http://schemas.microsoft.com/office/drawing/2014/main" id="{3F3771EF-5CC2-E161-E1A4-0FFF9C9D48E1}"/>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612849" y="12392247"/>
              <a:ext cx="1832049" cy="2530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1247847</xdr:colOff>
      <xdr:row>1</xdr:row>
      <xdr:rowOff>147673</xdr:rowOff>
    </xdr:from>
    <xdr:to>
      <xdr:col>5</xdr:col>
      <xdr:colOff>376567</xdr:colOff>
      <xdr:row>5</xdr:row>
      <xdr:rowOff>199358</xdr:rowOff>
    </xdr:to>
    <xdr:sp macro="" textlink="">
      <xdr:nvSpPr>
        <xdr:cNvPr id="6" name="Rectangle: Rounded Corners 5">
          <a:extLst>
            <a:ext uri="{FF2B5EF4-FFF2-40B4-BE49-F238E27FC236}">
              <a16:creationId xmlns:a16="http://schemas.microsoft.com/office/drawing/2014/main" id="{3DFC7CB6-EC8A-0D8F-A9DE-07A8F124CFBC}"/>
            </a:ext>
          </a:extLst>
        </xdr:cNvPr>
        <xdr:cNvSpPr/>
      </xdr:nvSpPr>
      <xdr:spPr>
        <a:xfrm>
          <a:off x="2473545" y="332266"/>
          <a:ext cx="3285755" cy="959883"/>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2</xdr:col>
      <xdr:colOff>1329069</xdr:colOff>
      <xdr:row>2</xdr:row>
      <xdr:rowOff>14767</xdr:rowOff>
    </xdr:from>
    <xdr:to>
      <xdr:col>3</xdr:col>
      <xdr:colOff>1048488</xdr:colOff>
      <xdr:row>3</xdr:row>
      <xdr:rowOff>66452</xdr:rowOff>
    </xdr:to>
    <xdr:sp macro="" textlink="">
      <xdr:nvSpPr>
        <xdr:cNvPr id="7" name="TextBox 6">
          <a:extLst>
            <a:ext uri="{FF2B5EF4-FFF2-40B4-BE49-F238E27FC236}">
              <a16:creationId xmlns:a16="http://schemas.microsoft.com/office/drawing/2014/main" id="{733C064D-BC72-F532-17DD-48EF9B7BFF9B}"/>
            </a:ext>
          </a:extLst>
        </xdr:cNvPr>
        <xdr:cNvSpPr txBox="1"/>
      </xdr:nvSpPr>
      <xdr:spPr>
        <a:xfrm>
          <a:off x="2554767" y="383953"/>
          <a:ext cx="1107558" cy="251046"/>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US" sz="1100" b="1" i="0" u="none" strike="noStrike">
              <a:solidFill>
                <a:schemeClr val="dk1"/>
              </a:solidFill>
              <a:effectLst/>
              <a:latin typeface="+mn-lt"/>
              <a:ea typeface="+mn-ea"/>
              <a:cs typeface="+mn-cs"/>
            </a:rPr>
            <a:t>TOTAL SALES</a:t>
          </a:r>
          <a:endParaRPr lang="en-US" sz="1100"/>
        </a:p>
      </xdr:txBody>
    </xdr:sp>
    <xdr:clientData/>
  </xdr:twoCellAnchor>
  <xdr:twoCellAnchor>
    <xdr:from>
      <xdr:col>3</xdr:col>
      <xdr:colOff>494704</xdr:colOff>
      <xdr:row>3</xdr:row>
      <xdr:rowOff>110754</xdr:rowOff>
    </xdr:from>
    <xdr:to>
      <xdr:col>5</xdr:col>
      <xdr:colOff>302727</xdr:colOff>
      <xdr:row>5</xdr:row>
      <xdr:rowOff>155057</xdr:rowOff>
    </xdr:to>
    <xdr:sp macro="" textlink="">
      <xdr:nvSpPr>
        <xdr:cNvPr id="8" name="TextBox 7">
          <a:extLst>
            <a:ext uri="{FF2B5EF4-FFF2-40B4-BE49-F238E27FC236}">
              <a16:creationId xmlns:a16="http://schemas.microsoft.com/office/drawing/2014/main" id="{8153F4E7-96AB-407C-479B-D6C98B12D9BC}"/>
            </a:ext>
          </a:extLst>
        </xdr:cNvPr>
        <xdr:cNvSpPr txBox="1"/>
      </xdr:nvSpPr>
      <xdr:spPr>
        <a:xfrm>
          <a:off x="3108541" y="679301"/>
          <a:ext cx="2576919" cy="568547"/>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US" sz="2400" b="1" i="0" u="none" strike="noStrike">
              <a:solidFill>
                <a:schemeClr val="dk1"/>
              </a:solidFill>
              <a:effectLst/>
              <a:latin typeface="+mn-lt"/>
              <a:ea typeface="+mn-ea"/>
              <a:cs typeface="+mn-cs"/>
            </a:rPr>
            <a:t> ₦  77,002,445.00</a:t>
          </a:r>
          <a:r>
            <a:rPr lang="en-US" sz="1100" b="1" i="0" u="none" strike="noStrike">
              <a:solidFill>
                <a:schemeClr val="dk1"/>
              </a:solidFill>
              <a:effectLst/>
              <a:latin typeface="+mn-lt"/>
              <a:ea typeface="+mn-ea"/>
              <a:cs typeface="+mn-cs"/>
            </a:rPr>
            <a:t> </a:t>
          </a:r>
          <a:endParaRPr lang="en-US" sz="1100"/>
        </a:p>
      </xdr:txBody>
    </xdr:sp>
    <xdr:clientData/>
  </xdr:twoCellAnchor>
  <xdr:twoCellAnchor>
    <xdr:from>
      <xdr:col>5</xdr:col>
      <xdr:colOff>484666</xdr:colOff>
      <xdr:row>1</xdr:row>
      <xdr:rowOff>167166</xdr:rowOff>
    </xdr:from>
    <xdr:to>
      <xdr:col>8</xdr:col>
      <xdr:colOff>528968</xdr:colOff>
      <xdr:row>5</xdr:row>
      <xdr:rowOff>218851</xdr:rowOff>
    </xdr:to>
    <xdr:sp macro="" textlink="">
      <xdr:nvSpPr>
        <xdr:cNvPr id="9" name="Rectangle: Rounded Corners 8">
          <a:extLst>
            <a:ext uri="{FF2B5EF4-FFF2-40B4-BE49-F238E27FC236}">
              <a16:creationId xmlns:a16="http://schemas.microsoft.com/office/drawing/2014/main" id="{68BB5B70-8B36-2CB6-D630-F6CA75341C65}"/>
            </a:ext>
          </a:extLst>
        </xdr:cNvPr>
        <xdr:cNvSpPr/>
      </xdr:nvSpPr>
      <xdr:spPr>
        <a:xfrm>
          <a:off x="5867399" y="351759"/>
          <a:ext cx="3285755" cy="959883"/>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9</xdr:col>
      <xdr:colOff>2064</xdr:colOff>
      <xdr:row>1</xdr:row>
      <xdr:rowOff>164513</xdr:rowOff>
    </xdr:from>
    <xdr:to>
      <xdr:col>14</xdr:col>
      <xdr:colOff>179273</xdr:colOff>
      <xdr:row>5</xdr:row>
      <xdr:rowOff>216198</xdr:rowOff>
    </xdr:to>
    <xdr:sp macro="" textlink="">
      <xdr:nvSpPr>
        <xdr:cNvPr id="10" name="Rectangle: Rounded Corners 9">
          <a:extLst>
            <a:ext uri="{FF2B5EF4-FFF2-40B4-BE49-F238E27FC236}">
              <a16:creationId xmlns:a16="http://schemas.microsoft.com/office/drawing/2014/main" id="{F907D437-30FF-D0EA-62AB-7727783AD678}"/>
            </a:ext>
          </a:extLst>
        </xdr:cNvPr>
        <xdr:cNvSpPr/>
      </xdr:nvSpPr>
      <xdr:spPr>
        <a:xfrm>
          <a:off x="9239099" y="349106"/>
          <a:ext cx="3285755" cy="959883"/>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9</xdr:col>
      <xdr:colOff>78546</xdr:colOff>
      <xdr:row>2</xdr:row>
      <xdr:rowOff>41642</xdr:rowOff>
    </xdr:from>
    <xdr:to>
      <xdr:col>10</xdr:col>
      <xdr:colOff>573255</xdr:colOff>
      <xdr:row>3</xdr:row>
      <xdr:rowOff>93327</xdr:rowOff>
    </xdr:to>
    <xdr:sp macro="" textlink="">
      <xdr:nvSpPr>
        <xdr:cNvPr id="11" name="TextBox 10">
          <a:extLst>
            <a:ext uri="{FF2B5EF4-FFF2-40B4-BE49-F238E27FC236}">
              <a16:creationId xmlns:a16="http://schemas.microsoft.com/office/drawing/2014/main" id="{2A502111-A901-4248-237C-B68F2AED334F}"/>
            </a:ext>
          </a:extLst>
        </xdr:cNvPr>
        <xdr:cNvSpPr txBox="1"/>
      </xdr:nvSpPr>
      <xdr:spPr>
        <a:xfrm>
          <a:off x="9315581" y="410828"/>
          <a:ext cx="1107558" cy="251046"/>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US" sz="1100" b="1" i="0" u="none" strike="noStrike">
              <a:solidFill>
                <a:schemeClr val="dk1"/>
              </a:solidFill>
              <a:effectLst/>
              <a:latin typeface="+mn-lt"/>
              <a:ea typeface="+mn-ea"/>
              <a:cs typeface="+mn-cs"/>
            </a:rPr>
            <a:t>TOTAL</a:t>
          </a:r>
          <a:r>
            <a:rPr lang="en-US" sz="1100" b="1" i="0" u="none" strike="noStrike" baseline="0">
              <a:solidFill>
                <a:schemeClr val="dk1"/>
              </a:solidFill>
              <a:effectLst/>
              <a:latin typeface="+mn-lt"/>
              <a:ea typeface="+mn-ea"/>
              <a:cs typeface="+mn-cs"/>
            </a:rPr>
            <a:t> ORDERS</a:t>
          </a:r>
          <a:endParaRPr lang="en-US" sz="1100"/>
        </a:p>
      </xdr:txBody>
    </xdr:sp>
    <xdr:clientData/>
  </xdr:twoCellAnchor>
  <xdr:twoCellAnchor>
    <xdr:from>
      <xdr:col>5</xdr:col>
      <xdr:colOff>555839</xdr:colOff>
      <xdr:row>2</xdr:row>
      <xdr:rowOff>53754</xdr:rowOff>
    </xdr:from>
    <xdr:to>
      <xdr:col>7</xdr:col>
      <xdr:colOff>437700</xdr:colOff>
      <xdr:row>3</xdr:row>
      <xdr:rowOff>105439</xdr:rowOff>
    </xdr:to>
    <xdr:sp macro="" textlink="">
      <xdr:nvSpPr>
        <xdr:cNvPr id="12" name="TextBox 11">
          <a:extLst>
            <a:ext uri="{FF2B5EF4-FFF2-40B4-BE49-F238E27FC236}">
              <a16:creationId xmlns:a16="http://schemas.microsoft.com/office/drawing/2014/main" id="{AF186CB2-1C3A-735C-1E16-91C3FFC0D3BA}"/>
            </a:ext>
          </a:extLst>
        </xdr:cNvPr>
        <xdr:cNvSpPr txBox="1"/>
      </xdr:nvSpPr>
      <xdr:spPr>
        <a:xfrm>
          <a:off x="5938572" y="422940"/>
          <a:ext cx="1107558" cy="251046"/>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US" sz="1100" b="1" i="0" u="none" strike="noStrike">
              <a:solidFill>
                <a:schemeClr val="dk1"/>
              </a:solidFill>
              <a:effectLst/>
              <a:latin typeface="+mn-lt"/>
              <a:ea typeface="+mn-ea"/>
              <a:cs typeface="+mn-cs"/>
            </a:rPr>
            <a:t>TOTAL PROFIT</a:t>
          </a:r>
          <a:endParaRPr lang="en-US" sz="1100"/>
        </a:p>
      </xdr:txBody>
    </xdr:sp>
    <xdr:clientData/>
  </xdr:twoCellAnchor>
  <xdr:twoCellAnchor>
    <xdr:from>
      <xdr:col>10</xdr:col>
      <xdr:colOff>26859</xdr:colOff>
      <xdr:row>3</xdr:row>
      <xdr:rowOff>115479</xdr:rowOff>
    </xdr:from>
    <xdr:to>
      <xdr:col>14</xdr:col>
      <xdr:colOff>108081</xdr:colOff>
      <xdr:row>5</xdr:row>
      <xdr:rowOff>159782</xdr:rowOff>
    </xdr:to>
    <xdr:sp macro="" textlink="">
      <xdr:nvSpPr>
        <xdr:cNvPr id="13" name="TextBox 12">
          <a:extLst>
            <a:ext uri="{FF2B5EF4-FFF2-40B4-BE49-F238E27FC236}">
              <a16:creationId xmlns:a16="http://schemas.microsoft.com/office/drawing/2014/main" id="{3C4EF8F7-4ADF-8608-8383-39AF953A85F7}"/>
            </a:ext>
          </a:extLst>
        </xdr:cNvPr>
        <xdr:cNvSpPr txBox="1"/>
      </xdr:nvSpPr>
      <xdr:spPr>
        <a:xfrm>
          <a:off x="9876743" y="684026"/>
          <a:ext cx="2576919" cy="568547"/>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US" sz="2400" b="1" i="0" u="none" strike="noStrike">
              <a:solidFill>
                <a:schemeClr val="dk1"/>
              </a:solidFill>
              <a:effectLst/>
              <a:latin typeface="+mn-lt"/>
              <a:ea typeface="+mn-ea"/>
              <a:cs typeface="+mn-cs"/>
            </a:rPr>
            <a:t>1000</a:t>
          </a:r>
          <a:r>
            <a:rPr lang="en-US" sz="2400">
              <a:effectLst/>
            </a:rPr>
            <a:t> </a:t>
          </a:r>
          <a:endParaRPr lang="en-US" sz="2400"/>
        </a:p>
      </xdr:txBody>
    </xdr:sp>
    <xdr:clientData/>
  </xdr:twoCellAnchor>
  <xdr:twoCellAnchor>
    <xdr:from>
      <xdr:col>6</xdr:col>
      <xdr:colOff>511532</xdr:colOff>
      <xdr:row>3</xdr:row>
      <xdr:rowOff>134973</xdr:rowOff>
    </xdr:from>
    <xdr:to>
      <xdr:col>8</xdr:col>
      <xdr:colOff>459846</xdr:colOff>
      <xdr:row>5</xdr:row>
      <xdr:rowOff>179276</xdr:rowOff>
    </xdr:to>
    <xdr:sp macro="" textlink="">
      <xdr:nvSpPr>
        <xdr:cNvPr id="14" name="TextBox 13">
          <a:extLst>
            <a:ext uri="{FF2B5EF4-FFF2-40B4-BE49-F238E27FC236}">
              <a16:creationId xmlns:a16="http://schemas.microsoft.com/office/drawing/2014/main" id="{7B3F7110-169D-CD81-18D7-9C85119DA264}"/>
            </a:ext>
          </a:extLst>
        </xdr:cNvPr>
        <xdr:cNvSpPr txBox="1"/>
      </xdr:nvSpPr>
      <xdr:spPr>
        <a:xfrm>
          <a:off x="6507113" y="703520"/>
          <a:ext cx="2576919" cy="568547"/>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US" sz="2400" b="1" i="0" u="none" strike="noStrike">
              <a:solidFill>
                <a:schemeClr val="dk1"/>
              </a:solidFill>
              <a:effectLst/>
              <a:latin typeface="+mn-lt"/>
              <a:ea typeface="+mn-ea"/>
              <a:cs typeface="+mn-cs"/>
            </a:rPr>
            <a:t> ₦  6,135,849.08 </a:t>
          </a:r>
          <a:r>
            <a:rPr lang="en-US" sz="1100" b="1" i="0" u="none" strike="noStrike">
              <a:solidFill>
                <a:schemeClr val="dk1"/>
              </a:solidFill>
              <a:effectLst/>
              <a:latin typeface="+mn-lt"/>
              <a:ea typeface="+mn-ea"/>
              <a:cs typeface="+mn-cs"/>
            </a:rPr>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kubu Aisha" refreshedDate="46078.750639351849" createdVersion="8" refreshedVersion="8" minRefreshableVersion="3" recordCount="1000" xr:uid="{E090E9C6-3A18-4666-B4BA-3E8144A6FA9D}">
  <cacheSource type="worksheet">
    <worksheetSource ref="A1:J1001" sheet="Retail_Data"/>
  </cacheSource>
  <cacheFields count="12">
    <cacheField name="Order_ID" numFmtId="0">
      <sharedItems count="10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 v="ORD0801"/>
        <s v="ORD0802"/>
        <s v="ORD0803"/>
        <s v="ORD0804"/>
        <s v="ORD0805"/>
        <s v="ORD0806"/>
        <s v="ORD0807"/>
        <s v="ORD0808"/>
        <s v="ORD0809"/>
        <s v="ORD0810"/>
        <s v="ORD0811"/>
        <s v="ORD0812"/>
        <s v="ORD0813"/>
        <s v="ORD0814"/>
        <s v="ORD0815"/>
        <s v="ORD0816"/>
        <s v="ORD0817"/>
        <s v="ORD0818"/>
        <s v="ORD0819"/>
        <s v="ORD0820"/>
        <s v="ORD0821"/>
        <s v="ORD0822"/>
        <s v="ORD0823"/>
        <s v="ORD0824"/>
        <s v="ORD0825"/>
        <s v="ORD0826"/>
        <s v="ORD0827"/>
        <s v="ORD0828"/>
        <s v="ORD0829"/>
        <s v="ORD0830"/>
        <s v="ORD0831"/>
        <s v="ORD0832"/>
        <s v="ORD0833"/>
        <s v="ORD0834"/>
        <s v="ORD0835"/>
        <s v="ORD0836"/>
        <s v="ORD0837"/>
        <s v="ORD0838"/>
        <s v="ORD0839"/>
        <s v="ORD0840"/>
        <s v="ORD0841"/>
        <s v="ORD0842"/>
        <s v="ORD0843"/>
        <s v="ORD0844"/>
        <s v="ORD0845"/>
        <s v="ORD0846"/>
        <s v="ORD0847"/>
        <s v="ORD0848"/>
        <s v="ORD0849"/>
        <s v="ORD0850"/>
        <s v="ORD0851"/>
        <s v="ORD0852"/>
        <s v="ORD0853"/>
        <s v="ORD0854"/>
        <s v="ORD0855"/>
        <s v="ORD0856"/>
        <s v="ORD0857"/>
        <s v="ORD0858"/>
        <s v="ORD0859"/>
        <s v="ORD0860"/>
        <s v="ORD0861"/>
        <s v="ORD0862"/>
        <s v="ORD0863"/>
        <s v="ORD0864"/>
        <s v="ORD0865"/>
        <s v="ORD0866"/>
        <s v="ORD0867"/>
        <s v="ORD0868"/>
        <s v="ORD0869"/>
        <s v="ORD0870"/>
        <s v="ORD0871"/>
        <s v="ORD0872"/>
        <s v="ORD0873"/>
        <s v="ORD0874"/>
        <s v="ORD0875"/>
        <s v="ORD0876"/>
        <s v="ORD0877"/>
        <s v="ORD0878"/>
        <s v="ORD0879"/>
        <s v="ORD0880"/>
        <s v="ORD0881"/>
        <s v="ORD0882"/>
        <s v="ORD0883"/>
        <s v="ORD0884"/>
        <s v="ORD0885"/>
        <s v="ORD0886"/>
        <s v="ORD0887"/>
        <s v="ORD0888"/>
        <s v="ORD0889"/>
        <s v="ORD0890"/>
        <s v="ORD0891"/>
        <s v="ORD0892"/>
        <s v="ORD0893"/>
        <s v="ORD0894"/>
        <s v="ORD0895"/>
        <s v="ORD0896"/>
        <s v="ORD0897"/>
        <s v="ORD0898"/>
        <s v="ORD0899"/>
        <s v="ORD0900"/>
        <s v="ORD0901"/>
        <s v="ORD0902"/>
        <s v="ORD0903"/>
        <s v="ORD0904"/>
        <s v="ORD0905"/>
        <s v="ORD0906"/>
        <s v="ORD0907"/>
        <s v="ORD0908"/>
        <s v="ORD0909"/>
        <s v="ORD0910"/>
        <s v="ORD0911"/>
        <s v="ORD0912"/>
        <s v="ORD0913"/>
        <s v="ORD0914"/>
        <s v="ORD0915"/>
        <s v="ORD0916"/>
        <s v="ORD0917"/>
        <s v="ORD0918"/>
        <s v="ORD0919"/>
        <s v="ORD0920"/>
        <s v="ORD0921"/>
        <s v="ORD0922"/>
        <s v="ORD0923"/>
        <s v="ORD0924"/>
        <s v="ORD0925"/>
        <s v="ORD0926"/>
        <s v="ORD0927"/>
        <s v="ORD0928"/>
        <s v="ORD0929"/>
        <s v="ORD0930"/>
        <s v="ORD0931"/>
        <s v="ORD0932"/>
        <s v="ORD0933"/>
        <s v="ORD0934"/>
        <s v="ORD0935"/>
        <s v="ORD0936"/>
        <s v="ORD0937"/>
        <s v="ORD0938"/>
        <s v="ORD0939"/>
        <s v="ORD0940"/>
        <s v="ORD0941"/>
        <s v="ORD0942"/>
        <s v="ORD0943"/>
        <s v="ORD0944"/>
        <s v="ORD0945"/>
        <s v="ORD0946"/>
        <s v="ORD0947"/>
        <s v="ORD0948"/>
        <s v="ORD0949"/>
        <s v="ORD0950"/>
        <s v="ORD0951"/>
        <s v="ORD0952"/>
        <s v="ORD0953"/>
        <s v="ORD0954"/>
        <s v="ORD0955"/>
        <s v="ORD0956"/>
        <s v="ORD0957"/>
        <s v="ORD0958"/>
        <s v="ORD0959"/>
        <s v="ORD0960"/>
        <s v="ORD0961"/>
        <s v="ORD0962"/>
        <s v="ORD0963"/>
        <s v="ORD0964"/>
        <s v="ORD0965"/>
        <s v="ORD0966"/>
        <s v="ORD0967"/>
        <s v="ORD0968"/>
        <s v="ORD0969"/>
        <s v="ORD0970"/>
        <s v="ORD0971"/>
        <s v="ORD0972"/>
        <s v="ORD0973"/>
        <s v="ORD0974"/>
        <s v="ORD0975"/>
        <s v="ORD0976"/>
        <s v="ORD0977"/>
        <s v="ORD0978"/>
        <s v="ORD0979"/>
        <s v="ORD0980"/>
        <s v="ORD0981"/>
        <s v="ORD0982"/>
        <s v="ORD0983"/>
        <s v="ORD0984"/>
        <s v="ORD0985"/>
        <s v="ORD0986"/>
        <s v="ORD0987"/>
        <s v="ORD0988"/>
        <s v="ORD0989"/>
        <s v="ORD0990"/>
        <s v="ORD0991"/>
        <s v="ORD0992"/>
        <s v="ORD0993"/>
        <s v="ORD0994"/>
        <s v="ORD0995"/>
        <s v="ORD0996"/>
        <s v="ORD0997"/>
        <s v="ORD0998"/>
        <s v="ORD0999"/>
        <s v="ORD1000"/>
      </sharedItems>
    </cacheField>
    <cacheField name="Order_Date" numFmtId="164">
      <sharedItems containsSemiMixedTypes="0" containsNonDate="0" containsDate="1" containsString="0" minDate="2024-01-01T00:00:00" maxDate="2024-12-29T00:00:00" count="323">
        <d v="2024-07-12T00:00:00"/>
        <d v="2024-04-26T00:00:00"/>
        <d v="2024-04-09T00:00:00"/>
        <d v="2024-05-04T00:00:00"/>
        <d v="2024-10-21T00:00:00"/>
        <d v="2024-08-24T00:00:00"/>
        <d v="2024-10-04T00:00:00"/>
        <d v="2024-03-02T00:00:00"/>
        <d v="2024-06-07T00:00:00"/>
        <d v="2024-08-23T00:00:00"/>
        <d v="2024-07-09T00:00:00"/>
        <d v="2024-02-18T00:00:00"/>
        <d v="2024-08-02T00:00:00"/>
        <d v="2024-10-18T00:00:00"/>
        <d v="2024-07-21T00:00:00"/>
        <d v="2024-06-10T00:00:00"/>
        <d v="2024-09-17T00:00:00"/>
        <d v="2024-02-05T00:00:00"/>
        <d v="2024-05-21T00:00:00"/>
        <d v="2024-07-02T00:00:00"/>
        <d v="2024-03-15T00:00:00"/>
        <d v="2024-05-15T00:00:00"/>
        <d v="2024-12-06T00:00:00"/>
        <d v="2024-04-11T00:00:00"/>
        <d v="2024-12-09T00:00:00"/>
        <d v="2024-06-16T00:00:00"/>
        <d v="2024-09-03T00:00:00"/>
        <d v="2024-01-13T00:00:00"/>
        <d v="2024-03-14T00:00:00"/>
        <d v="2024-05-01T00:00:00"/>
        <d v="2024-01-19T00:00:00"/>
        <d v="2024-02-26T00:00:00"/>
        <d v="2024-08-21T00:00:00"/>
        <d v="2024-09-06T00:00:00"/>
        <d v="2024-04-04T00:00:00"/>
        <d v="2024-10-15T00:00:00"/>
        <d v="2024-03-20T00:00:00"/>
        <d v="2024-08-14T00:00:00"/>
        <d v="2024-10-03T00:00:00"/>
        <d v="2024-08-05T00:00:00"/>
        <d v="2024-11-20T00:00:00"/>
        <d v="2024-02-16T00:00:00"/>
        <d v="2024-09-23T00:00:00"/>
        <d v="2024-12-08T00:00:00"/>
        <d v="2024-04-06T00:00:00"/>
        <d v="2024-02-21T00:00:00"/>
        <d v="2024-08-19T00:00:00"/>
        <d v="2024-01-10T00:00:00"/>
        <d v="2024-12-23T00:00:00"/>
        <d v="2024-10-25T00:00:00"/>
        <d v="2024-10-05T00:00:00"/>
        <d v="2024-01-11T00:00:00"/>
        <d v="2024-02-11T00:00:00"/>
        <d v="2024-04-17T00:00:00"/>
        <d v="2024-12-17T00:00:00"/>
        <d v="2024-12-13T00:00:00"/>
        <d v="2024-12-03T00:00:00"/>
        <d v="2024-05-27T00:00:00"/>
        <d v="2024-10-26T00:00:00"/>
        <d v="2024-09-14T00:00:00"/>
        <d v="2024-06-18T00:00:00"/>
        <d v="2024-04-02T00:00:00"/>
        <d v="2024-08-16T00:00:00"/>
        <d v="2024-08-09T00:00:00"/>
        <d v="2024-02-13T00:00:00"/>
        <d v="2024-03-01T00:00:00"/>
        <d v="2024-11-27T00:00:00"/>
        <d v="2024-10-14T00:00:00"/>
        <d v="2024-09-26T00:00:00"/>
        <d v="2024-11-03T00:00:00"/>
        <d v="2024-01-03T00:00:00"/>
        <d v="2024-05-02T00:00:00"/>
        <d v="2024-07-16T00:00:00"/>
        <d v="2024-03-25T00:00:00"/>
        <d v="2024-11-24T00:00:00"/>
        <d v="2024-03-11T00:00:00"/>
        <d v="2024-09-24T00:00:00"/>
        <d v="2024-07-18T00:00:00"/>
        <d v="2024-03-07T00:00:00"/>
        <d v="2024-09-18T00:00:00"/>
        <d v="2024-06-01T00:00:00"/>
        <d v="2024-01-25T00:00:00"/>
        <d v="2024-11-23T00:00:00"/>
        <d v="2024-09-08T00:00:00"/>
        <d v="2024-04-27T00:00:00"/>
        <d v="2024-07-08T00:00:00"/>
        <d v="2024-07-22T00:00:00"/>
        <d v="2024-10-07T00:00:00"/>
        <d v="2024-04-10T00:00:00"/>
        <d v="2024-01-23T00:00:00"/>
        <d v="2024-06-22T00:00:00"/>
        <d v="2024-03-16T00:00:00"/>
        <d v="2024-02-03T00:00:00"/>
        <d v="2024-04-08T00:00:00"/>
        <d v="2024-10-27T00:00:00"/>
        <d v="2024-02-28T00:00:00"/>
        <d v="2024-07-14T00:00:00"/>
        <d v="2024-04-13T00:00:00"/>
        <d v="2024-02-15T00:00:00"/>
        <d v="2024-06-04T00:00:00"/>
        <d v="2024-11-04T00:00:00"/>
        <d v="2024-02-25T00:00:00"/>
        <d v="2024-09-22T00:00:00"/>
        <d v="2024-03-19T00:00:00"/>
        <d v="2024-08-27T00:00:00"/>
        <d v="2024-04-19T00:00:00"/>
        <d v="2024-08-22T00:00:00"/>
        <d v="2024-11-15T00:00:00"/>
        <d v="2024-10-02T00:00:00"/>
        <d v="2024-05-06T00:00:00"/>
        <d v="2024-07-23T00:00:00"/>
        <d v="2024-08-03T00:00:00"/>
        <d v="2024-06-14T00:00:00"/>
        <d v="2024-10-22T00:00:00"/>
        <d v="2024-07-15T00:00:00"/>
        <d v="2024-11-28T00:00:00"/>
        <d v="2024-08-10T00:00:00"/>
        <d v="2024-02-19T00:00:00"/>
        <d v="2024-09-27T00:00:00"/>
        <d v="2024-04-23T00:00:00"/>
        <d v="2024-08-20T00:00:00"/>
        <d v="2024-04-03T00:00:00"/>
        <d v="2024-11-25T00:00:00"/>
        <d v="2024-09-09T00:00:00"/>
        <d v="2024-03-09T00:00:00"/>
        <d v="2024-04-21T00:00:00"/>
        <d v="2024-09-16T00:00:00"/>
        <d v="2024-07-05T00:00:00"/>
        <d v="2024-04-15T00:00:00"/>
        <d v="2024-12-05T00:00:00"/>
        <d v="2024-03-27T00:00:00"/>
        <d v="2024-10-20T00:00:00"/>
        <d v="2024-06-02T00:00:00"/>
        <d v="2024-11-12T00:00:00"/>
        <d v="2024-12-12T00:00:00"/>
        <d v="2024-01-01T00:00:00"/>
        <d v="2024-03-08T00:00:00"/>
        <d v="2024-05-12T00:00:00"/>
        <d v="2024-10-23T00:00:00"/>
        <d v="2024-12-21T00:00:00"/>
        <d v="2024-03-10T00:00:00"/>
        <d v="2024-11-08T00:00:00"/>
        <d v="2024-01-22T00:00:00"/>
        <d v="2024-06-28T00:00:00"/>
        <d v="2024-11-19T00:00:00"/>
        <d v="2024-01-28T00:00:00"/>
        <d v="2024-02-27T00:00:00"/>
        <d v="2024-12-19T00:00:00"/>
        <d v="2024-09-25T00:00:00"/>
        <d v="2024-08-15T00:00:00"/>
        <d v="2024-07-19T00:00:00"/>
        <d v="2024-01-16T00:00:00"/>
        <d v="2024-05-05T00:00:00"/>
        <d v="2024-01-09T00:00:00"/>
        <d v="2024-12-16T00:00:00"/>
        <d v="2024-09-21T00:00:00"/>
        <d v="2024-12-26T00:00:00"/>
        <d v="2024-04-20T00:00:00"/>
        <d v="2024-06-17T00:00:00"/>
        <d v="2024-01-18T00:00:00"/>
        <d v="2024-01-24T00:00:00"/>
        <d v="2024-07-10T00:00:00"/>
        <d v="2024-11-10T00:00:00"/>
        <d v="2024-10-06T00:00:00"/>
        <d v="2024-10-19T00:00:00"/>
        <d v="2024-12-28T00:00:00"/>
        <d v="2024-06-21T00:00:00"/>
        <d v="2024-07-26T00:00:00"/>
        <d v="2024-05-07T00:00:00"/>
        <d v="2024-04-12T00:00:00"/>
        <d v="2024-10-10T00:00:00"/>
        <d v="2024-01-04T00:00:00"/>
        <d v="2024-07-06T00:00:00"/>
        <d v="2024-03-05T00:00:00"/>
        <d v="2024-05-17T00:00:00"/>
        <d v="2024-01-21T00:00:00"/>
        <d v="2024-04-01T00:00:00"/>
        <d v="2024-05-03T00:00:00"/>
        <d v="2024-08-25T00:00:00"/>
        <d v="2024-07-24T00:00:00"/>
        <d v="2024-07-20T00:00:00"/>
        <d v="2024-08-01T00:00:00"/>
        <d v="2024-03-17T00:00:00"/>
        <d v="2024-05-14T00:00:00"/>
        <d v="2024-12-22T00:00:00"/>
        <d v="2024-07-04T00:00:00"/>
        <d v="2024-09-11T00:00:00"/>
        <d v="2024-03-03T00:00:00"/>
        <d v="2024-10-24T00:00:00"/>
        <d v="2024-02-24T00:00:00"/>
        <d v="2024-09-15T00:00:00"/>
        <d v="2024-10-09T00:00:00"/>
        <d v="2024-10-12T00:00:00"/>
        <d v="2024-11-26T00:00:00"/>
        <d v="2024-12-01T00:00:00"/>
        <d v="2024-01-05T00:00:00"/>
        <d v="2024-08-06T00:00:00"/>
        <d v="2024-02-14T00:00:00"/>
        <d v="2024-10-13T00:00:00"/>
        <d v="2024-06-05T00:00:00"/>
        <d v="2024-11-13T00:00:00"/>
        <d v="2024-11-09T00:00:00"/>
        <d v="2024-05-22T00:00:00"/>
        <d v="2024-05-20T00:00:00"/>
        <d v="2024-06-15T00:00:00"/>
        <d v="2024-12-11T00:00:00"/>
        <d v="2024-06-13T00:00:00"/>
        <d v="2024-11-06T00:00:00"/>
        <d v="2024-04-16T00:00:00"/>
        <d v="2024-02-06T00:00:00"/>
        <d v="2024-03-21T00:00:00"/>
        <d v="2024-10-17T00:00:00"/>
        <d v="2024-05-10T00:00:00"/>
        <d v="2024-08-11T00:00:00"/>
        <d v="2024-06-24T00:00:00"/>
        <d v="2024-05-23T00:00:00"/>
        <d v="2024-04-22T00:00:00"/>
        <d v="2024-08-26T00:00:00"/>
        <d v="2024-02-01T00:00:00"/>
        <d v="2024-01-17T00:00:00"/>
        <d v="2024-11-21T00:00:00"/>
        <d v="2024-05-25T00:00:00"/>
        <d v="2024-04-05T00:00:00"/>
        <d v="2024-06-06T00:00:00"/>
        <d v="2024-08-28T00:00:00"/>
        <d v="2024-12-07T00:00:00"/>
        <d v="2024-05-18T00:00:00"/>
        <d v="2024-12-02T00:00:00"/>
        <d v="2024-09-12T00:00:00"/>
        <d v="2024-09-01T00:00:00"/>
        <d v="2024-05-09T00:00:00"/>
        <d v="2024-02-02T00:00:00"/>
        <d v="2024-02-04T00:00:00"/>
        <d v="2024-05-16T00:00:00"/>
        <d v="2024-01-27T00:00:00"/>
        <d v="2024-12-24T00:00:00"/>
        <d v="2024-07-17T00:00:00"/>
        <d v="2024-05-19T00:00:00"/>
        <d v="2024-03-06T00:00:00"/>
        <d v="2024-01-06T00:00:00"/>
        <d v="2024-03-24T00:00:00"/>
        <d v="2024-01-20T00:00:00"/>
        <d v="2024-09-04T00:00:00"/>
        <d v="2024-05-24T00:00:00"/>
        <d v="2024-06-11T00:00:00"/>
        <d v="2024-07-13T00:00:00"/>
        <d v="2024-11-07T00:00:00"/>
        <d v="2024-09-02T00:00:00"/>
        <d v="2024-06-08T00:00:00"/>
        <d v="2024-05-13T00:00:00"/>
        <d v="2024-03-26T00:00:00"/>
        <d v="2024-07-03T00:00:00"/>
        <d v="2024-06-09T00:00:00"/>
        <d v="2024-06-26T00:00:00"/>
        <d v="2024-06-03T00:00:00"/>
        <d v="2024-01-14T00:00:00"/>
        <d v="2024-01-08T00:00:00"/>
        <d v="2024-08-08T00:00:00"/>
        <d v="2024-08-07T00:00:00"/>
        <d v="2024-02-17T00:00:00"/>
        <d v="2024-07-07T00:00:00"/>
        <d v="2024-08-04T00:00:00"/>
        <d v="2024-03-22T00:00:00"/>
        <d v="2024-01-07T00:00:00"/>
        <d v="2024-11-02T00:00:00"/>
        <d v="2024-10-01T00:00:00"/>
        <d v="2024-12-20T00:00:00"/>
        <d v="2024-11-17T00:00:00"/>
        <d v="2024-05-26T00:00:00"/>
        <d v="2024-11-18T00:00:00"/>
        <d v="2024-09-07T00:00:00"/>
        <d v="2024-03-12T00:00:00"/>
        <d v="2024-02-07T00:00:00"/>
        <d v="2024-02-22T00:00:00"/>
        <d v="2024-12-04T00:00:00"/>
        <d v="2024-09-19T00:00:00"/>
        <d v="2024-03-28T00:00:00"/>
        <d v="2024-01-15T00:00:00"/>
        <d v="2024-04-07T00:00:00"/>
        <d v="2024-12-15T00:00:00"/>
        <d v="2024-01-12T00:00:00"/>
        <d v="2024-07-28T00:00:00"/>
        <d v="2024-03-23T00:00:00"/>
        <d v="2024-07-01T00:00:00"/>
        <d v="2024-02-20T00:00:00"/>
        <d v="2024-02-10T00:00:00"/>
        <d v="2024-11-01T00:00:00"/>
        <d v="2024-10-16T00:00:00"/>
        <d v="2024-04-18T00:00:00"/>
        <d v="2024-03-13T00:00:00"/>
        <d v="2024-05-28T00:00:00"/>
        <d v="2024-03-18T00:00:00"/>
        <d v="2024-08-17T00:00:00"/>
        <d v="2024-02-12T00:00:00"/>
        <d v="2024-10-28T00:00:00"/>
        <d v="2024-11-14T00:00:00"/>
        <d v="2024-06-19T00:00:00"/>
        <d v="2024-08-12T00:00:00"/>
        <d v="2024-02-23T00:00:00"/>
        <d v="2024-06-20T00:00:00"/>
        <d v="2024-02-09T00:00:00"/>
        <d v="2024-11-11T00:00:00"/>
        <d v="2024-11-16T00:00:00"/>
        <d v="2024-01-26T00:00:00"/>
        <d v="2024-06-23T00:00:00"/>
        <d v="2024-04-14T00:00:00"/>
        <d v="2024-10-11T00:00:00"/>
        <d v="2024-04-28T00:00:00"/>
        <d v="2024-11-05T00:00:00"/>
        <d v="2024-09-28T00:00:00"/>
        <d v="2024-09-20T00:00:00"/>
        <d v="2024-07-25T00:00:00"/>
        <d v="2024-10-08T00:00:00"/>
        <d v="2024-09-13T00:00:00"/>
        <d v="2024-04-25T00:00:00"/>
        <d v="2024-12-25T00:00:00"/>
        <d v="2024-01-02T00:00:00"/>
        <d v="2024-12-18T00:00:00"/>
        <d v="2024-12-14T00:00:00"/>
        <d v="2024-04-24T00:00:00"/>
        <d v="2024-09-05T00:00:00"/>
        <d v="2024-12-10T00:00:00"/>
        <d v="2024-08-13T00:00:00"/>
      </sharedItems>
      <fieldGroup par="11"/>
    </cacheField>
    <cacheField name="Customer_Segment" numFmtId="0">
      <sharedItems/>
    </cacheField>
    <cacheField name="Region" numFmtId="0">
      <sharedItems count="4">
        <s v="East"/>
        <s v="North"/>
        <s v="South"/>
        <s v="West"/>
      </sharedItems>
    </cacheField>
    <cacheField name="Category" numFmtId="0">
      <sharedItems count="3">
        <s v="Furniture"/>
        <s v="Office Supplies"/>
        <s v="Technology"/>
      </sharedItems>
    </cacheField>
    <cacheField name="Product" numFmtId="0">
      <sharedItems count="7">
        <s v="Laptop"/>
        <s v="Paper"/>
        <s v="Phone"/>
        <s v="Printer"/>
        <s v="Desk"/>
        <s v="Chair"/>
        <s v="Router"/>
      </sharedItems>
    </cacheField>
    <cacheField name="Sales" numFmtId="2">
      <sharedItems containsSemiMixedTypes="0" containsString="0" containsNumber="1" containsInteger="1" minValue="5209" maxValue="149860" count="995">
        <n v="62116"/>
        <n v="46728"/>
        <n v="93260"/>
        <n v="52488"/>
        <n v="109840"/>
        <n v="70328"/>
        <n v="81629"/>
        <n v="127975"/>
        <n v="26093"/>
        <n v="83027"/>
        <n v="11569"/>
        <n v="110917"/>
        <n v="37868"/>
        <n v="131760"/>
        <n v="130025"/>
        <n v="133637"/>
        <n v="48648"/>
        <n v="49629"/>
        <n v="122264"/>
        <n v="40445"/>
        <n v="137263"/>
        <n v="59211"/>
        <n v="7494"/>
        <n v="11794"/>
        <n v="8758"/>
        <n v="61432"/>
        <n v="105530"/>
        <n v="11447"/>
        <n v="88191"/>
        <n v="133281"/>
        <n v="111119"/>
        <n v="44410"/>
        <n v="57267"/>
        <n v="89665"/>
        <n v="104159"/>
        <n v="91912"/>
        <n v="117476"/>
        <n v="120066"/>
        <n v="73668"/>
        <n v="111516"/>
        <n v="10898"/>
        <n v="13939"/>
        <n v="17829"/>
        <n v="139822"/>
        <n v="144753"/>
        <n v="15713"/>
        <n v="119903"/>
        <n v="89367"/>
        <n v="90313"/>
        <n v="86411"/>
        <n v="82806"/>
        <n v="112442"/>
        <n v="25161"/>
        <n v="83527"/>
        <n v="47170"/>
        <n v="49630"/>
        <n v="140544"/>
        <n v="66780"/>
        <n v="44433"/>
        <n v="109764"/>
        <n v="116263"/>
        <n v="60670"/>
        <n v="35650"/>
        <n v="32167"/>
        <n v="104767"/>
        <n v="84778"/>
        <n v="27359"/>
        <n v="36905"/>
        <n v="71663"/>
        <n v="15765"/>
        <n v="72275"/>
        <n v="16967"/>
        <n v="92209"/>
        <n v="24804"/>
        <n v="84184"/>
        <n v="38391"/>
        <n v="93237"/>
        <n v="47578"/>
        <n v="74106"/>
        <n v="43668"/>
        <n v="64616"/>
        <n v="84380"/>
        <n v="70044"/>
        <n v="90323"/>
        <n v="31461"/>
        <n v="8466"/>
        <n v="33299"/>
        <n v="48150"/>
        <n v="18659"/>
        <n v="72893"/>
        <n v="105026"/>
        <n v="105211"/>
        <n v="120122"/>
        <n v="133759"/>
        <n v="42233"/>
        <n v="71511"/>
        <n v="92701"/>
        <n v="70144"/>
        <n v="34621"/>
        <n v="133923"/>
        <n v="33617"/>
        <n v="98855"/>
        <n v="65340"/>
        <n v="79099"/>
        <n v="59745"/>
        <n v="72455"/>
        <n v="143478"/>
        <n v="121438"/>
        <n v="122375"/>
        <n v="21376"/>
        <n v="54604"/>
        <n v="66423"/>
        <n v="134123"/>
        <n v="119648"/>
        <n v="49476"/>
        <n v="129046"/>
        <n v="138232"/>
        <n v="60238"/>
        <n v="43003"/>
        <n v="77251"/>
        <n v="56003"/>
        <n v="7651"/>
        <n v="129290"/>
        <n v="61615"/>
        <n v="90318"/>
        <n v="9065"/>
        <n v="72989"/>
        <n v="33621"/>
        <n v="108918"/>
        <n v="131793"/>
        <n v="84884"/>
        <n v="124125"/>
        <n v="5452"/>
        <n v="41352"/>
        <n v="44228"/>
        <n v="80135"/>
        <n v="57888"/>
        <n v="119869"/>
        <n v="34920"/>
        <n v="50099"/>
        <n v="78755"/>
        <n v="115232"/>
        <n v="124941"/>
        <n v="135177"/>
        <n v="115006"/>
        <n v="65102"/>
        <n v="142350"/>
        <n v="14683"/>
        <n v="109040"/>
        <n v="115497"/>
        <n v="81157"/>
        <n v="139809"/>
        <n v="23224"/>
        <n v="95943"/>
        <n v="116724"/>
        <n v="147459"/>
        <n v="49231"/>
        <n v="21586"/>
        <n v="27816"/>
        <n v="90253"/>
        <n v="95575"/>
        <n v="25057"/>
        <n v="13993"/>
        <n v="142569"/>
        <n v="113190"/>
        <n v="36220"/>
        <n v="136890"/>
        <n v="40105"/>
        <n v="88216"/>
        <n v="105659"/>
        <n v="29509"/>
        <n v="59019"/>
        <n v="8522"/>
        <n v="60726"/>
        <n v="50209"/>
        <n v="72658"/>
        <n v="32293"/>
        <n v="111521"/>
        <n v="64463"/>
        <n v="64922"/>
        <n v="9048"/>
        <n v="42590"/>
        <n v="149524"/>
        <n v="126333"/>
        <n v="33965"/>
        <n v="40324"/>
        <n v="67594"/>
        <n v="66796"/>
        <n v="35722"/>
        <n v="67569"/>
        <n v="72225"/>
        <n v="130148"/>
        <n v="42091"/>
        <n v="106545"/>
        <n v="143806"/>
        <n v="139960"/>
        <n v="52641"/>
        <n v="25968"/>
        <n v="114187"/>
        <n v="100247"/>
        <n v="60591"/>
        <n v="47666"/>
        <n v="138243"/>
        <n v="7396"/>
        <n v="17877"/>
        <n v="25401"/>
        <n v="16966"/>
        <n v="100015"/>
        <n v="54701"/>
        <n v="60196"/>
        <n v="110200"/>
        <n v="54985"/>
        <n v="86022"/>
        <n v="140668"/>
        <n v="49566"/>
        <n v="143020"/>
        <n v="132573"/>
        <n v="34114"/>
        <n v="65750"/>
        <n v="49338"/>
        <n v="148711"/>
        <n v="81659"/>
        <n v="65191"/>
        <n v="128670"/>
        <n v="95631"/>
        <n v="85979"/>
        <n v="46471"/>
        <n v="11758"/>
        <n v="141453"/>
        <n v="17935"/>
        <n v="105598"/>
        <n v="94113"/>
        <n v="106086"/>
        <n v="143326"/>
        <n v="106171"/>
        <n v="63022"/>
        <n v="9553"/>
        <n v="56274"/>
        <n v="52329"/>
        <n v="37887"/>
        <n v="61469"/>
        <n v="85602"/>
        <n v="119956"/>
        <n v="102415"/>
        <n v="96856"/>
        <n v="100296"/>
        <n v="39089"/>
        <n v="89230"/>
        <n v="35754"/>
        <n v="128634"/>
        <n v="28047"/>
        <n v="92923"/>
        <n v="94120"/>
        <n v="117163"/>
        <n v="79497"/>
        <n v="33332"/>
        <n v="27446"/>
        <n v="148405"/>
        <n v="60646"/>
        <n v="51315"/>
        <n v="135706"/>
        <n v="131314"/>
        <n v="68988"/>
        <n v="106586"/>
        <n v="95059"/>
        <n v="106088"/>
        <n v="58800"/>
        <n v="126747"/>
        <n v="136036"/>
        <n v="26810"/>
        <n v="13429"/>
        <n v="59506"/>
        <n v="18912"/>
        <n v="142817"/>
        <n v="55592"/>
        <n v="74796"/>
        <n v="132811"/>
        <n v="149287"/>
        <n v="49578"/>
        <n v="72121"/>
        <n v="20712"/>
        <n v="113403"/>
        <n v="53267"/>
        <n v="149480"/>
        <n v="55359"/>
        <n v="9346"/>
        <n v="51523"/>
        <n v="104674"/>
        <n v="64997"/>
        <n v="109152"/>
        <n v="70691"/>
        <n v="38132"/>
        <n v="56705"/>
        <n v="57000"/>
        <n v="95957"/>
        <n v="120303"/>
        <n v="56609"/>
        <n v="139188"/>
        <n v="105184"/>
        <n v="67743"/>
        <n v="42980"/>
        <n v="24221"/>
        <n v="13535"/>
        <n v="29609"/>
        <n v="60319"/>
        <n v="7739"/>
        <n v="71787"/>
        <n v="126739"/>
        <n v="82671"/>
        <n v="135115"/>
        <n v="147974"/>
        <n v="37425"/>
        <n v="100934"/>
        <n v="72130"/>
        <n v="17403"/>
        <n v="18851"/>
        <n v="132161"/>
        <n v="63229"/>
        <n v="134298"/>
        <n v="42471"/>
        <n v="60540"/>
        <n v="111526"/>
        <n v="80250"/>
        <n v="47674"/>
        <n v="103695"/>
        <n v="30250"/>
        <n v="109438"/>
        <n v="21106"/>
        <n v="74202"/>
        <n v="102166"/>
        <n v="99658"/>
        <n v="95252"/>
        <n v="80016"/>
        <n v="148507"/>
        <n v="57876"/>
        <n v="27295"/>
        <n v="139695"/>
        <n v="53916"/>
        <n v="61960"/>
        <n v="5209"/>
        <n v="137558"/>
        <n v="145863"/>
        <n v="91848"/>
        <n v="87498"/>
        <n v="107459"/>
        <n v="104186"/>
        <n v="85515"/>
        <n v="80674"/>
        <n v="142969"/>
        <n v="43686"/>
        <n v="40619"/>
        <n v="86794"/>
        <n v="137842"/>
        <n v="78653"/>
        <n v="93933"/>
        <n v="71242"/>
        <n v="89807"/>
        <n v="133587"/>
        <n v="86853"/>
        <n v="54167"/>
        <n v="31222"/>
        <n v="32374"/>
        <n v="133569"/>
        <n v="56955"/>
        <n v="67400"/>
        <n v="29986"/>
        <n v="62302"/>
        <n v="138495"/>
        <n v="24732"/>
        <n v="140926"/>
        <n v="114508"/>
        <n v="112301"/>
        <n v="107601"/>
        <n v="17324"/>
        <n v="142620"/>
        <n v="117266"/>
        <n v="5890"/>
        <n v="124005"/>
        <n v="70001"/>
        <n v="48647"/>
        <n v="133680"/>
        <n v="38899"/>
        <n v="133820"/>
        <n v="36631"/>
        <n v="85149"/>
        <n v="103826"/>
        <n v="104488"/>
        <n v="59299"/>
        <n v="8412"/>
        <n v="72157"/>
        <n v="44991"/>
        <n v="61170"/>
        <n v="19240"/>
        <n v="79107"/>
        <n v="115151"/>
        <n v="51838"/>
        <n v="57618"/>
        <n v="37040"/>
        <n v="120872"/>
        <n v="79374"/>
        <n v="47079"/>
        <n v="48718"/>
        <n v="105390"/>
        <n v="92444"/>
        <n v="126557"/>
        <n v="43317"/>
        <n v="98191"/>
        <n v="14806"/>
        <n v="9918"/>
        <n v="140982"/>
        <n v="90530"/>
        <n v="102784"/>
        <n v="121869"/>
        <n v="142248"/>
        <n v="137630"/>
        <n v="101001"/>
        <n v="6915"/>
        <n v="137826"/>
        <n v="82807"/>
        <n v="135724"/>
        <n v="8247"/>
        <n v="27053"/>
        <n v="114409"/>
        <n v="63766"/>
        <n v="14195"/>
        <n v="39540"/>
        <n v="24200"/>
        <n v="144629"/>
        <n v="45552"/>
        <n v="89219"/>
        <n v="30795"/>
        <n v="141461"/>
        <n v="61514"/>
        <n v="76457"/>
        <n v="115401"/>
        <n v="127545"/>
        <n v="29872"/>
        <n v="108319"/>
        <n v="100795"/>
        <n v="82992"/>
        <n v="12026"/>
        <n v="86601"/>
        <n v="111901"/>
        <n v="99935"/>
        <n v="122014"/>
        <n v="84619"/>
        <n v="70213"/>
        <n v="110525"/>
        <n v="76647"/>
        <n v="66969"/>
        <n v="95915"/>
        <n v="83665"/>
        <n v="113943"/>
        <n v="149802"/>
        <n v="46847"/>
        <n v="133627"/>
        <n v="7722"/>
        <n v="96567"/>
        <n v="134693"/>
        <n v="9762"/>
        <n v="101486"/>
        <n v="42283"/>
        <n v="43844"/>
        <n v="119907"/>
        <n v="13914"/>
        <n v="85620"/>
        <n v="50408"/>
        <n v="94721"/>
        <n v="113768"/>
        <n v="36090"/>
        <n v="145683"/>
        <n v="102636"/>
        <n v="57768"/>
        <n v="7274"/>
        <n v="23899"/>
        <n v="109601"/>
        <n v="133503"/>
        <n v="102458"/>
        <n v="119258"/>
        <n v="85581"/>
        <n v="5590"/>
        <n v="97968"/>
        <n v="143046"/>
        <n v="134103"/>
        <n v="30158"/>
        <n v="14942"/>
        <n v="40467"/>
        <n v="134360"/>
        <n v="109244"/>
        <n v="126366"/>
        <n v="91317"/>
        <n v="63184"/>
        <n v="27635"/>
        <n v="113012"/>
        <n v="25215"/>
        <n v="10355"/>
        <n v="82409"/>
        <n v="7638"/>
        <n v="19650"/>
        <n v="72207"/>
        <n v="133675"/>
        <n v="74821"/>
        <n v="104997"/>
        <n v="36976"/>
        <n v="107063"/>
        <n v="95461"/>
        <n v="38910"/>
        <n v="104215"/>
        <n v="76531"/>
        <n v="70939"/>
        <n v="124038"/>
        <n v="20028"/>
        <n v="133949"/>
        <n v="73658"/>
        <n v="104816"/>
        <n v="19283"/>
        <n v="89057"/>
        <n v="128565"/>
        <n v="46317"/>
        <n v="127002"/>
        <n v="16442"/>
        <n v="77861"/>
        <n v="102579"/>
        <n v="118348"/>
        <n v="9369"/>
        <n v="20638"/>
        <n v="44679"/>
        <n v="118213"/>
        <n v="90966"/>
        <n v="10913"/>
        <n v="37787"/>
        <n v="134155"/>
        <n v="67910"/>
        <n v="82256"/>
        <n v="142067"/>
        <n v="108140"/>
        <n v="142373"/>
        <n v="79035"/>
        <n v="81084"/>
        <n v="13530"/>
        <n v="103751"/>
        <n v="137038"/>
        <n v="136940"/>
        <n v="42162"/>
        <n v="93071"/>
        <n v="42257"/>
        <n v="26864"/>
        <n v="128679"/>
        <n v="47321"/>
        <n v="118317"/>
        <n v="104428"/>
        <n v="61578"/>
        <n v="40470"/>
        <n v="97458"/>
        <n v="95227"/>
        <n v="69477"/>
        <n v="5888"/>
        <n v="141885"/>
        <n v="44576"/>
        <n v="10229"/>
        <n v="92967"/>
        <n v="110996"/>
        <n v="8987"/>
        <n v="104822"/>
        <n v="144621"/>
        <n v="121539"/>
        <n v="54050"/>
        <n v="79846"/>
        <n v="57121"/>
        <n v="68400"/>
        <n v="145819"/>
        <n v="29667"/>
        <n v="116564"/>
        <n v="120989"/>
        <n v="43248"/>
        <n v="81312"/>
        <n v="60786"/>
        <n v="64199"/>
        <n v="98868"/>
        <n v="38550"/>
        <n v="86349"/>
        <n v="144664"/>
        <n v="43713"/>
        <n v="114081"/>
        <n v="75480"/>
        <n v="121990"/>
        <n v="77582"/>
        <n v="123698"/>
        <n v="88321"/>
        <n v="99994"/>
        <n v="119395"/>
        <n v="33805"/>
        <n v="77027"/>
        <n v="92317"/>
        <n v="54013"/>
        <n v="52857"/>
        <n v="75690"/>
        <n v="32993"/>
        <n v="121325"/>
        <n v="21518"/>
        <n v="127904"/>
        <n v="118443"/>
        <n v="9256"/>
        <n v="40666"/>
        <n v="27310"/>
        <n v="43047"/>
        <n v="143994"/>
        <n v="46298"/>
        <n v="9667"/>
        <n v="22256"/>
        <n v="96255"/>
        <n v="17074"/>
        <n v="25191"/>
        <n v="10684"/>
        <n v="118402"/>
        <n v="137027"/>
        <n v="102044"/>
        <n v="41407"/>
        <n v="66424"/>
        <n v="66123"/>
        <n v="92889"/>
        <n v="71540"/>
        <n v="93541"/>
        <n v="64526"/>
        <n v="131950"/>
        <n v="13250"/>
        <n v="148516"/>
        <n v="114823"/>
        <n v="79365"/>
        <n v="35495"/>
        <n v="132394"/>
        <n v="88019"/>
        <n v="25208"/>
        <n v="95548"/>
        <n v="47474"/>
        <n v="84225"/>
        <n v="81244"/>
        <n v="85632"/>
        <n v="48828"/>
        <n v="58720"/>
        <n v="49204"/>
        <n v="17862"/>
        <n v="103881"/>
        <n v="141416"/>
        <n v="12466"/>
        <n v="111091"/>
        <n v="130997"/>
        <n v="88038"/>
        <n v="125281"/>
        <n v="65965"/>
        <n v="76942"/>
        <n v="95060"/>
        <n v="41139"/>
        <n v="108556"/>
        <n v="58010"/>
        <n v="61751"/>
        <n v="143998"/>
        <n v="136436"/>
        <n v="140715"/>
        <n v="119037"/>
        <n v="139707"/>
        <n v="132458"/>
        <n v="28502"/>
        <n v="35661"/>
        <n v="122762"/>
        <n v="132895"/>
        <n v="82769"/>
        <n v="139384"/>
        <n v="93187"/>
        <n v="66704"/>
        <n v="72551"/>
        <n v="100699"/>
        <n v="25529"/>
        <n v="56668"/>
        <n v="38416"/>
        <n v="75447"/>
        <n v="142894"/>
        <n v="91267"/>
        <n v="66250"/>
        <n v="92366"/>
        <n v="83819"/>
        <n v="95646"/>
        <n v="10530"/>
        <n v="32538"/>
        <n v="135057"/>
        <n v="104369"/>
        <n v="35015"/>
        <n v="98143"/>
        <n v="30836"/>
        <n v="27317"/>
        <n v="148695"/>
        <n v="32600"/>
        <n v="69896"/>
        <n v="77208"/>
        <n v="125120"/>
        <n v="27314"/>
        <n v="73790"/>
        <n v="63699"/>
        <n v="50136"/>
        <n v="88176"/>
        <n v="81525"/>
        <n v="37807"/>
        <n v="28124"/>
        <n v="130030"/>
        <n v="26611"/>
        <n v="145474"/>
        <n v="102323"/>
        <n v="51885"/>
        <n v="121141"/>
        <n v="145532"/>
        <n v="129658"/>
        <n v="7711"/>
        <n v="141497"/>
        <n v="39217"/>
        <n v="90524"/>
        <n v="103601"/>
        <n v="62043"/>
        <n v="48962"/>
        <n v="46533"/>
        <n v="53562"/>
        <n v="42606"/>
        <n v="45227"/>
        <n v="81491"/>
        <n v="87578"/>
        <n v="106698"/>
        <n v="22190"/>
        <n v="71042"/>
        <n v="129558"/>
        <n v="76814"/>
        <n v="144793"/>
        <n v="115466"/>
        <n v="53294"/>
        <n v="127726"/>
        <n v="140082"/>
        <n v="66552"/>
        <n v="27844"/>
        <n v="84497"/>
        <n v="47041"/>
        <n v="48869"/>
        <n v="43261"/>
        <n v="38126"/>
        <n v="96030"/>
        <n v="49625"/>
        <n v="130309"/>
        <n v="94920"/>
        <n v="120647"/>
        <n v="101944"/>
        <n v="59896"/>
        <n v="116874"/>
        <n v="117653"/>
        <n v="14033"/>
        <n v="108495"/>
        <n v="148839"/>
        <n v="54293"/>
        <n v="7394"/>
        <n v="36850"/>
        <n v="34862"/>
        <n v="102771"/>
        <n v="125900"/>
        <n v="16049"/>
        <n v="139485"/>
        <n v="109526"/>
        <n v="73025"/>
        <n v="11300"/>
        <n v="137355"/>
        <n v="35667"/>
        <n v="40923"/>
        <n v="47089"/>
        <n v="13618"/>
        <n v="54505"/>
        <n v="78803"/>
        <n v="85555"/>
        <n v="21378"/>
        <n v="46481"/>
        <n v="97863"/>
        <n v="21650"/>
        <n v="148478"/>
        <n v="28947"/>
        <n v="126310"/>
        <n v="24170"/>
        <n v="131581"/>
        <n v="98231"/>
        <n v="14291"/>
        <n v="80378"/>
        <n v="47894"/>
        <n v="45899"/>
        <n v="105089"/>
        <n v="113839"/>
        <n v="58604"/>
        <n v="28109"/>
        <n v="30563"/>
        <n v="83517"/>
        <n v="91736"/>
        <n v="15934"/>
        <n v="91569"/>
        <n v="89648"/>
        <n v="103434"/>
        <n v="63137"/>
        <n v="86577"/>
        <n v="40550"/>
        <n v="10474"/>
        <n v="149629"/>
        <n v="12459"/>
        <n v="117189"/>
        <n v="29153"/>
        <n v="102804"/>
        <n v="36465"/>
        <n v="127847"/>
        <n v="69080"/>
        <n v="58914"/>
        <n v="128251"/>
        <n v="128014"/>
        <n v="52300"/>
        <n v="141973"/>
        <n v="56385"/>
        <n v="133710"/>
        <n v="141701"/>
        <n v="40786"/>
        <n v="135845"/>
        <n v="110857"/>
        <n v="54516"/>
        <n v="81251"/>
        <n v="56462"/>
        <n v="132956"/>
        <n v="82705"/>
        <n v="52825"/>
        <n v="42227"/>
        <n v="102199"/>
        <n v="66771"/>
        <n v="39842"/>
        <n v="54217"/>
        <n v="70349"/>
        <n v="10983"/>
        <n v="147007"/>
        <n v="94840"/>
        <n v="66318"/>
        <n v="66508"/>
        <n v="60150"/>
        <n v="76435"/>
        <n v="18445"/>
        <n v="104987"/>
        <n v="77774"/>
        <n v="62670"/>
        <n v="10315"/>
        <n v="16032"/>
        <n v="116855"/>
        <n v="85739"/>
        <n v="5221"/>
        <n v="16837"/>
        <n v="87243"/>
        <n v="32863"/>
        <n v="29833"/>
        <n v="30525"/>
        <n v="30499"/>
        <n v="102686"/>
        <n v="34633"/>
        <n v="49042"/>
        <n v="100262"/>
        <n v="104411"/>
        <n v="46953"/>
        <n v="16580"/>
        <n v="23338"/>
        <n v="27680"/>
        <n v="88504"/>
        <n v="12409"/>
        <n v="128539"/>
        <n v="112608"/>
        <n v="19795"/>
        <n v="93950"/>
        <n v="90124"/>
        <n v="99594"/>
        <n v="139073"/>
        <n v="106059"/>
        <n v="115056"/>
        <n v="39121"/>
        <n v="85099"/>
        <n v="108178"/>
        <n v="129960"/>
        <n v="63100"/>
        <n v="74457"/>
        <n v="33906"/>
        <n v="39202"/>
        <n v="18492"/>
        <n v="69450"/>
        <n v="116567"/>
        <n v="31059"/>
        <n v="73590"/>
        <n v="136948"/>
        <n v="146985"/>
        <n v="115133"/>
        <n v="49402"/>
        <n v="94835"/>
        <n v="87183"/>
        <n v="69241"/>
        <n v="66074"/>
        <n v="137468"/>
        <n v="79969"/>
        <n v="136045"/>
        <n v="109941"/>
        <n v="6701"/>
        <n v="37293"/>
        <n v="61179"/>
        <n v="41638"/>
        <n v="119736"/>
        <n v="99571"/>
        <n v="53607"/>
        <n v="140835"/>
        <n v="39758"/>
        <n v="94628"/>
        <n v="30063"/>
        <n v="79038"/>
        <n v="61051"/>
        <n v="21708"/>
        <n v="9837"/>
        <n v="75392"/>
        <n v="34439"/>
        <n v="16730"/>
        <n v="76625"/>
        <n v="92154"/>
        <n v="33079"/>
        <n v="19157"/>
        <n v="21409"/>
        <n v="105914"/>
        <n v="82847"/>
        <n v="134242"/>
        <n v="119169"/>
        <n v="27815"/>
        <n v="20959"/>
        <n v="108599"/>
        <n v="18534"/>
        <n v="107179"/>
        <n v="82616"/>
        <n v="29013"/>
        <n v="74622"/>
        <n v="125160"/>
        <n v="62170"/>
        <n v="17823"/>
        <n v="39255"/>
        <n v="94397"/>
        <n v="149860"/>
        <n v="139773"/>
        <n v="142100"/>
        <n v="142661"/>
        <n v="55501"/>
        <n v="88312"/>
        <n v="64908"/>
        <n v="63179"/>
        <n v="113832"/>
        <n v="104257"/>
        <n v="71112"/>
        <n v="49906"/>
        <n v="100503"/>
        <n v="77558"/>
        <n v="29430"/>
        <n v="21637"/>
        <n v="30647"/>
        <n v="84819"/>
        <n v="41370"/>
        <n v="130804"/>
        <n v="143830"/>
        <n v="92247"/>
        <n v="64431"/>
        <n v="24548"/>
        <n v="24483"/>
        <n v="106795"/>
        <n v="6394"/>
        <n v="91489"/>
        <n v="44533"/>
        <n v="25727"/>
        <n v="146314"/>
        <n v="58438"/>
        <n v="139614"/>
        <n v="137867"/>
        <n v="130874"/>
        <n v="120817"/>
        <n v="128024"/>
        <n v="50676"/>
        <n v="147622"/>
        <n v="134349"/>
        <n v="24196"/>
        <n v="88910"/>
        <n v="145688"/>
        <n v="14973"/>
        <n v="86902"/>
        <n v="145638"/>
        <n v="126189"/>
        <n v="63685"/>
        <n v="23799"/>
        <n v="10445"/>
        <n v="54571"/>
        <n v="99976"/>
        <n v="88276"/>
        <n v="96722"/>
        <n v="50677"/>
        <n v="30547"/>
      </sharedItems>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15"/>
    </cacheField>
    <cacheField name="Profit" numFmtId="2">
      <sharedItems containsSemiMixedTypes="0" containsString="0" containsNumber="1" minValue="-13590.63" maxValue="35431.49" count="1000">
        <n v="5009.2299999999996"/>
        <n v="3147.42"/>
        <n v="8798.4699999999993"/>
        <n v="-1172.47"/>
        <n v="5253.76"/>
        <n v="1875.2"/>
        <n v="12181.89"/>
        <n v="-3991.49"/>
        <n v="-434.42"/>
        <n v="7854.69"/>
        <n v="1058.49"/>
        <n v="16844.95"/>
        <n v="1759.03"/>
        <n v="-5979.17"/>
        <n v="10889.4"/>
        <n v="7766.3"/>
        <n v="559.02"/>
        <n v="202.46"/>
        <n v="16675.63"/>
        <n v="3091.98"/>
        <n v="6048.26"/>
        <n v="3975.55"/>
        <n v="563.51"/>
        <n v="1445.34"/>
        <n v="1049.3800000000001"/>
        <n v="13401.15"/>
        <n v="4973.6000000000004"/>
        <n v="-600.63"/>
        <n v="7086.37"/>
        <n v="7175.12"/>
        <n v="8025.3"/>
        <n v="3506.32"/>
        <n v="9153.17"/>
        <n v="8481.81"/>
        <n v="15369.6"/>
        <n v="2218.12"/>
        <n v="16404.53"/>
        <n v="3794.9"/>
        <n v="5208.7700000000004"/>
        <n v="18040.080000000002"/>
        <n v="244"/>
        <n v="2501.15"/>
        <n v="2207.2399999999998"/>
        <n v="32204.31"/>
        <n v="3934.12"/>
        <n v="92.89"/>
        <n v="11768.95"/>
        <n v="17060.47"/>
        <n v="-5365.84"/>
        <n v="1410.61"/>
        <n v="16708.05"/>
        <n v="8874.77"/>
        <n v="-1949.36"/>
        <n v="-712.52"/>
        <n v="10979.77"/>
        <n v="6194.32"/>
        <n v="19082.95"/>
        <n v="3153.99"/>
        <n v="2448.62"/>
        <n v="10894.08"/>
        <n v="4822.38"/>
        <n v="2188.17"/>
        <n v="-1097.3499999999999"/>
        <n v="-1540.62"/>
        <n v="21999.57"/>
        <n v="9815.67"/>
        <n v="1900.64"/>
        <n v="4301.72"/>
        <n v="115.12"/>
        <n v="1554.88"/>
        <n v="4119.13"/>
        <n v="483.98"/>
        <n v="11374.18"/>
        <n v="4227.17"/>
        <n v="13963.7"/>
        <n v="2333.8200000000002"/>
        <n v="21320.45"/>
        <n v="1041.4100000000001"/>
        <n v="2536.6999999999998"/>
        <n v="6378.08"/>
        <n v="-1768.5"/>
        <n v="9115.7099999999991"/>
        <n v="2320.37"/>
        <n v="268.01"/>
        <n v="3566.59"/>
        <n v="1788.86"/>
        <n v="-370.38"/>
        <n v="9289.5499999999993"/>
        <n v="266.95999999999998"/>
        <n v="5834.32"/>
        <n v="5599.96"/>
        <n v="8542.7099999999991"/>
        <n v="364.81"/>
        <n v="12216.15"/>
        <n v="2826.8"/>
        <n v="13504.09"/>
        <n v="7134.83"/>
        <n v="818.18"/>
        <n v="4229.45"/>
        <n v="26814.17"/>
        <n v="7462.22"/>
        <n v="14897.82"/>
        <n v="1345.57"/>
        <n v="-2657.72"/>
        <n v="-2032.95"/>
        <n v="13119.56"/>
        <n v="28665.19"/>
        <n v="18664.75"/>
        <n v="17985.759999999998"/>
        <n v="2902.58"/>
        <n v="4245.24"/>
        <n v="11760.91"/>
        <n v="19007.810000000001"/>
        <n v="9462.81"/>
        <n v="8432.77"/>
        <n v="16138.88"/>
        <n v="24280.16"/>
        <n v="9942.9"/>
        <n v="2852.65"/>
        <n v="7695.11"/>
        <n v="2648.2"/>
        <n v="953.91"/>
        <n v="11983.07"/>
        <n v="11201.05"/>
        <n v="17832.25"/>
        <n v="-347.74"/>
        <n v="9836.2199999999993"/>
        <n v="4567.26"/>
        <n v="14839.58"/>
        <n v="11162.47"/>
        <n v="7962.77"/>
        <n v="-2549.96"/>
        <n v="-322.57"/>
        <n v="10183.44"/>
        <n v="1896.93"/>
        <n v="4565.8900000000003"/>
        <n v="11475.15"/>
        <n v="3949.46"/>
        <n v="2397.79"/>
        <n v="-3855.05"/>
        <n v="11255.44"/>
        <n v="1102.99"/>
        <n v="10356.780000000001"/>
        <n v="4278.21"/>
        <n v="10836.49"/>
        <n v="15205.72"/>
        <n v="1869.14"/>
        <n v="-365.29"/>
        <n v="20017"/>
        <n v="-484.72"/>
        <n v="16061.25"/>
        <n v="5120.75"/>
        <n v="4132.87"/>
        <n v="10458.69"/>
        <n v="1938.65"/>
        <n v="7957.69"/>
        <n v="4869.25"/>
        <n v="-645.05999999999995"/>
        <n v="2140.81"/>
        <n v="3114.81"/>
        <n v="6709.03"/>
        <n v="-905.86"/>
        <n v="365.38"/>
        <n v="18083.150000000001"/>
        <n v="26454.2"/>
        <n v="2482.96"/>
        <n v="12921.12"/>
        <n v="2802.22"/>
        <n v="-1690.28"/>
        <n v="11276.57"/>
        <n v="-2875.21"/>
        <n v="3804.77"/>
        <n v="752.2"/>
        <n v="676.6"/>
        <n v="4760.8500000000004"/>
        <n v="223.62"/>
        <n v="-2597.83"/>
        <n v="-6805.91"/>
        <n v="-2205.29"/>
        <n v="8846.9500000000007"/>
        <n v="1404.32"/>
        <n v="336.64"/>
        <n v="-12287"/>
        <n v="12247.61"/>
        <n v="3118.85"/>
        <n v="5376.43"/>
        <n v="10693.22"/>
        <n v="-743.82"/>
        <n v="2135.23"/>
        <n v="247.76"/>
        <n v="-935.06"/>
        <n v="21778.76"/>
        <n v="4914.7299999999996"/>
        <n v="8719.66"/>
        <n v="4355.53"/>
        <n v="19837.75"/>
        <n v="6787.81"/>
        <n v="5988.59"/>
        <n v="-3103.53"/>
        <n v="6780.12"/>
        <n v="-1094.77"/>
        <n v="9112.34"/>
        <n v="-13590.63"/>
        <n v="1778.69"/>
        <n v="2095.09"/>
        <n v="1793.82"/>
        <n v="-1022.06"/>
        <n v="5230.88"/>
        <n v="-3047.08"/>
        <n v="10081.25"/>
        <n v="21057.32"/>
        <n v="6477.33"/>
        <n v="16585.86"/>
        <n v="11644.1"/>
        <n v="3105.28"/>
        <n v="16792.86"/>
        <n v="15426.54"/>
        <n v="2978.51"/>
        <n v="-1718.05"/>
        <n v="3567.68"/>
        <n v="-10972.63"/>
        <n v="5280.2"/>
        <n v="3813.92"/>
        <n v="3338.08"/>
        <n v="3995.82"/>
        <n v="-3272.15"/>
        <n v="6623.38"/>
        <n v="1382.97"/>
        <n v="29813.5"/>
        <n v="253.79"/>
        <n v="743.08"/>
        <n v="22297.75"/>
        <n v="19078.240000000002"/>
        <n v="8446.82"/>
        <n v="14455.64"/>
        <n v="-3835.22"/>
        <n v="-327.63"/>
        <n v="1339.75"/>
        <n v="-3345.45"/>
        <n v="1601.48"/>
        <n v="2189.19"/>
        <n v="16742.47"/>
        <n v="9575.98"/>
        <n v="-7840.72"/>
        <n v="8856.6299999999992"/>
        <n v="407.63"/>
        <n v="7702.69"/>
        <n v="15931.09"/>
        <n v="2449.11"/>
        <n v="17101.189999999999"/>
        <n v="5766.4"/>
        <n v="-3153.27"/>
        <n v="-8044.65"/>
        <n v="19519.39"/>
        <n v="6713.14"/>
        <n v="3076.22"/>
        <n v="4449.22"/>
        <n v="11129.1"/>
        <n v="-5299.3"/>
        <n v="-575.70000000000005"/>
        <n v="3074.44"/>
        <n v="-4499.6000000000004"/>
        <n v="2417.94"/>
        <n v="10697.2"/>
        <n v="7563.04"/>
        <n v="20038.310000000001"/>
        <n v="7254.72"/>
        <n v="-6382.97"/>
        <n v="2423.11"/>
        <n v="3649.72"/>
        <n v="2413.44"/>
        <n v="5394.5"/>
        <n v="2809.21"/>
        <n v="-9361.07"/>
        <n v="8934.2000000000007"/>
        <n v="9490.69"/>
        <n v="15576.78"/>
        <n v="10555.18"/>
        <n v="8657.16"/>
        <n v="10713.86"/>
        <n v="1371.66"/>
        <n v="16807.849999999999"/>
        <n v="11517.38"/>
        <n v="33963.230000000003"/>
        <n v="5161.99"/>
        <n v="923.33"/>
        <n v="10198.530000000001"/>
        <n v="11474.1"/>
        <n v="3412.1"/>
        <n v="11545.3"/>
        <n v="17008.43"/>
        <n v="7506.16"/>
        <n v="9130.2999999999993"/>
        <n v="7044.58"/>
        <n v="19859.54"/>
        <n v="10430.51"/>
        <n v="7215.55"/>
        <n v="32332.71"/>
        <n v="495.38"/>
        <n v="5808.01"/>
        <n v="3349.43"/>
        <n v="1041.29"/>
        <n v="2087.42"/>
        <n v="-2508.54"/>
        <n v="-3583.12"/>
        <n v="94.28"/>
        <n v="2251.17"/>
        <n v="18401.900000000001"/>
        <n v="1578.23"/>
        <n v="24592.51"/>
        <n v="11383.44"/>
        <n v="-3333.15"/>
        <n v="10552.35"/>
        <n v="5268.89"/>
        <n v="2361.39"/>
        <n v="164.34"/>
        <n v="8009"/>
        <n v="12453.96"/>
        <n v="8191.4"/>
        <n v="3517.85"/>
        <n v="2142.11"/>
        <n v="13094.06"/>
        <n v="7034.24"/>
        <n v="5551.61"/>
        <n v="8334.31"/>
        <n v="1420.56"/>
        <n v="1912.67"/>
        <n v="3916.24"/>
        <n v="2586.54"/>
        <n v="24264.81"/>
        <n v="12338.39"/>
        <n v="-8245.3799999999992"/>
        <n v="-7490.22"/>
        <n v="-934"/>
        <n v="463.09"/>
        <n v="3193.99"/>
        <n v="1412.61"/>
        <n v="6801.58"/>
        <n v="5505"/>
        <n v="381.68"/>
        <n v="22636.42"/>
        <n v="35362.910000000003"/>
        <n v="773.85"/>
        <n v="15046.5"/>
        <n v="26154.78"/>
        <n v="2545.94"/>
        <n v="6570.11"/>
        <n v="-91.18"/>
        <n v="4569.04"/>
        <n v="-4837.41"/>
        <n v="-2126.91"/>
        <n v="2311.89"/>
        <n v="3105.54"/>
        <n v="7026.94"/>
        <n v="5703.08"/>
        <n v="8840.26"/>
        <n v="10605.34"/>
        <n v="6112.41"/>
        <n v="10293.469999999999"/>
        <n v="9724.83"/>
        <n v="2187.4899999999998"/>
        <n v="3582.86"/>
        <n v="4521.88"/>
        <n v="23623.64"/>
        <n v="7099.93"/>
        <n v="12664.09"/>
        <n v="-1174.44"/>
        <n v="-1421.64"/>
        <n v="27462.21"/>
        <n v="2806.33"/>
        <n v="12456.37"/>
        <n v="11337.51"/>
        <n v="10884.89"/>
        <n v="8986.9599999999991"/>
        <n v="3070.98"/>
        <n v="-1560.7"/>
        <n v="19411.669999999998"/>
        <n v="66.180000000000007"/>
        <n v="5126.83"/>
        <n v="3270.45"/>
        <n v="3496.38"/>
        <n v="-8601.6"/>
        <n v="3106.83"/>
        <n v="9977.1200000000008"/>
        <n v="1813.83"/>
        <n v="2547.69"/>
        <n v="5938.83"/>
        <n v="10193.299999999999"/>
        <n v="-3182.51"/>
        <n v="210.56"/>
        <n v="2216.88"/>
        <n v="1630.16"/>
        <n v="4838.41"/>
        <n v="2938.58"/>
        <n v="13753.86"/>
        <n v="25586.26"/>
        <n v="-3954.52"/>
        <n v="13565.55"/>
        <n v="-1483.13"/>
        <n v="8145.72"/>
        <n v="-5200.1499999999996"/>
        <n v="2656.6"/>
        <n v="4035.16"/>
        <n v="1343.93"/>
        <n v="-4174.78"/>
        <n v="26177.62"/>
        <n v="6279.61"/>
        <n v="13915.36"/>
        <n v="709"/>
        <n v="1655.48"/>
        <n v="17907.75"/>
        <n v="7155.53"/>
        <n v="7305.64"/>
        <n v="26946.720000000001"/>
        <n v="-12631.73"/>
        <n v="9285.64"/>
        <n v="3730"/>
        <n v="1013.75"/>
        <n v="170.86"/>
        <n v="8376.56"/>
        <n v="12023.2"/>
        <n v="1553.18"/>
        <n v="2324.5100000000002"/>
        <n v="7261.09"/>
        <n v="14767.1"/>
        <n v="930"/>
        <n v="1503.55"/>
        <n v="-266.43"/>
        <n v="21183.3"/>
        <n v="0.37"/>
        <n v="4051.41"/>
        <n v="-1254.29"/>
        <n v="3074.53"/>
        <n v="10326.81"/>
        <n v="-6860.11"/>
        <n v="3047.45"/>
        <n v="263.62"/>
        <n v="-193.09"/>
        <n v="15946.47"/>
        <n v="18008.34"/>
        <n v="7459.04"/>
        <n v="1716.81"/>
        <n v="19220.419999999998"/>
        <n v="2730.24"/>
        <n v="276.92"/>
        <n v="27704.59"/>
        <n v="5509.45"/>
        <n v="12569.28"/>
        <n v="-37.54"/>
        <n v="15106.08"/>
        <n v="15601.13"/>
        <n v="5265"/>
        <n v="5628.72"/>
        <n v="18620.990000000002"/>
        <n v="7084.82"/>
        <n v="-1817.46"/>
        <n v="18148.04"/>
        <n v="828.67"/>
        <n v="5794.96"/>
        <n v="17206.48"/>
        <n v="659.53"/>
        <n v="15549.71"/>
        <n v="-2181.6999999999998"/>
        <n v="10245.549999999999"/>
        <n v="12423.28"/>
        <n v="1515.11"/>
        <n v="826.66"/>
        <n v="-4371.17"/>
        <n v="20120.310000000001"/>
        <n v="-3672.74"/>
        <n v="-2593.2399999999998"/>
        <n v="33284.67"/>
        <n v="20077.72"/>
        <n v="-3123.11"/>
        <n v="1302.78"/>
        <n v="3991.17"/>
        <n v="13289.6"/>
        <n v="12988.31"/>
        <n v="5093.2299999999996"/>
        <n v="24461.33"/>
        <n v="10960.45"/>
        <n v="716.64"/>
        <n v="8900.76"/>
        <n v="6192.82"/>
        <n v="26023.919999999998"/>
        <n v="-1426.62"/>
        <n v="181.54"/>
        <n v="3673.91"/>
        <n v="26865.32"/>
        <n v="13325.78"/>
        <n v="30500.06"/>
        <n v="-8829.7900000000009"/>
        <n v="2446.75"/>
        <n v="1971.01"/>
        <n v="980.38"/>
        <n v="1836.87"/>
        <n v="2327.46"/>
        <n v="-2536.29"/>
        <n v="1156.6099999999999"/>
        <n v="34.380000000000003"/>
        <n v="8634.7099999999991"/>
        <n v="22330.5"/>
        <n v="2392.4"/>
        <n v="201.88"/>
        <n v="2042.28"/>
        <n v="14029.13"/>
        <n v="-7559.43"/>
        <n v="8901.69"/>
        <n v="6610.67"/>
        <n v="1111.78"/>
        <n v="-3393.6"/>
        <n v="-1548.95"/>
        <n v="829"/>
        <n v="19876.240000000002"/>
        <n v="-52.49"/>
        <n v="20424.349999999999"/>
        <n v="3829.39"/>
        <n v="-2635.16"/>
        <n v="20984.36"/>
        <n v="5179.04"/>
        <n v="396.88"/>
        <n v="2180.7800000000002"/>
        <n v="7353.18"/>
        <n v="6799.69"/>
        <n v="5961.63"/>
        <n v="1772.04"/>
        <n v="-1751.42"/>
        <n v="2851.63"/>
        <n v="10099.23"/>
        <n v="11852.15"/>
        <n v="2391.1"/>
        <n v="4053.59"/>
        <n v="15288.35"/>
        <n v="8940.7800000000007"/>
        <n v="5845.11"/>
        <n v="20071.46"/>
        <n v="20865.599999999999"/>
        <n v="11915.12"/>
        <n v="10515.32"/>
        <n v="16025.08"/>
        <n v="1764.58"/>
        <n v="2326.84"/>
        <n v="11782.82"/>
        <n v="3023.56"/>
        <n v="4171.57"/>
        <n v="-4500.6000000000004"/>
        <n v="6055.69"/>
        <n v="2413.4299999999998"/>
        <n v="-398.91"/>
        <n v="1825.97"/>
        <n v="15421.09"/>
        <n v="8495.94"/>
        <n v="12944.87"/>
        <n v="5277.92"/>
        <n v="1261.92"/>
        <n v="14260.49"/>
        <n v="-1124.24"/>
        <n v="522.84"/>
        <n v="33364.85"/>
        <n v="-62.75"/>
        <n v="1650.4"/>
        <n v="6021.96"/>
        <n v="23724.43"/>
        <n v="1685.66"/>
        <n v="-5203.6099999999997"/>
        <n v="3255.1"/>
        <n v="-2948.12"/>
        <n v="12756.24"/>
        <n v="786.33"/>
        <n v="5092.1099999999997"/>
        <n v="10053.549999999999"/>
        <n v="16215.34"/>
        <n v="3223.36"/>
        <n v="-3785.19"/>
        <n v="293.33"/>
        <n v="4280.41"/>
        <n v="10583.91"/>
        <n v="1464.47"/>
        <n v="8617.94"/>
        <n v="7641.21"/>
        <n v="3803.06"/>
        <n v="7004.71"/>
        <n v="25812.14"/>
        <n v="4844.99"/>
        <n v="8363.19"/>
        <n v="-1767.04"/>
        <n v="20486.5"/>
        <n v="13231.02"/>
        <n v="18156.150000000001"/>
        <n v="15355.33"/>
        <n v="9789.2099999999991"/>
        <n v="883.64"/>
        <n v="6235.2"/>
        <n v="14130.12"/>
        <n v="995.56"/>
        <n v="-4061.38"/>
        <n v="4568.0600000000004"/>
        <n v="-2792.75"/>
        <n v="-1134.08"/>
        <n v="3101.72"/>
        <n v="168.92"/>
        <n v="-1070.28"/>
        <n v="10188.879999999999"/>
        <n v="679.6"/>
        <n v="7404.93"/>
        <n v="-547.54"/>
        <n v="-860.47"/>
        <n v="5122.18"/>
        <n v="5548.36"/>
        <n v="1831.05"/>
        <n v="-465.44"/>
        <n v="17986.43"/>
        <n v="1251.21"/>
        <n v="-274.05"/>
        <n v="-134.66"/>
        <n v="18746.580000000002"/>
        <n v="18907.18"/>
        <n v="10895.37"/>
        <n v="-2706.13"/>
        <n v="-2360.73"/>
        <n v="10348.86"/>
        <n v="3118.69"/>
        <n v="-6706.65"/>
        <n v="-8012.24"/>
        <n v="1134.7"/>
        <n v="24175.89"/>
        <n v="1498.52"/>
        <n v="17641.099999999999"/>
        <n v="4841.46"/>
        <n v="1513.07"/>
        <n v="3161.89"/>
        <n v="8125.68"/>
        <n v="3390.61"/>
        <n v="1361.62"/>
        <n v="-8856.7000000000007"/>
        <n v="-1678.57"/>
        <n v="3750.02"/>
        <n v="-2176.35"/>
        <n v="6764.37"/>
        <n v="10697.15"/>
        <n v="6632.99"/>
        <n v="935.46"/>
        <n v="1676.64"/>
        <n v="7239.55"/>
        <n v="5514.05"/>
        <n v="82.95"/>
        <n v="15879.56"/>
        <n v="2734.03"/>
        <n v="13622.12"/>
        <n v="8013.7"/>
        <n v="9374.11"/>
        <n v="4972.9799999999996"/>
        <n v="-333.66"/>
        <n v="4243.04"/>
        <n v="10512.14"/>
        <n v="225.86"/>
        <n v="5165.51"/>
        <n v="24446.69"/>
        <n v="14022.84"/>
        <n v="-11121.85"/>
        <n v="8804.07"/>
        <n v="32729.759999999998"/>
        <n v="10309.719999999999"/>
        <n v="3038.54"/>
        <n v="3233.68"/>
        <n v="26900.32"/>
        <n v="32690.85"/>
        <n v="16743.89"/>
        <n v="9271.44"/>
        <n v="17960.150000000001"/>
        <n v="7203.85"/>
        <n v="3384.35"/>
        <n v="11862.19"/>
        <n v="-1518.4"/>
        <n v="8530"/>
        <n v="8842.23"/>
        <n v="14547.93"/>
        <n v="-5850.28"/>
        <n v="-3157.09"/>
        <n v="1148.3399999999999"/>
        <n v="7996.15"/>
        <n v="8323.01"/>
        <n v="7949.46"/>
        <n v="984.44"/>
        <n v="-776.59"/>
        <n v="3367.9"/>
        <n v="10501.69"/>
        <n v="3753.66"/>
        <n v="-5895.68"/>
        <n v="11767.88"/>
        <n v="2261.67"/>
        <n v="-2643.8"/>
        <n v="29103.26"/>
        <n v="1166.76"/>
        <n v="4187.59"/>
        <n v="-276.05"/>
        <n v="9368.16"/>
        <n v="3119.25"/>
        <n v="2060.19"/>
        <n v="5786.8"/>
        <n v="3937.38"/>
        <n v="7044.27"/>
        <n v="17488.560000000001"/>
        <n v="659.49"/>
        <n v="2625.31"/>
        <n v="9844.01"/>
        <n v="1837.64"/>
        <n v="25375.42"/>
        <n v="12375.76"/>
        <n v="12851.04"/>
        <n v="8391.3700000000008"/>
        <n v="35431.49"/>
        <n v="12371.85"/>
        <n v="-210.65"/>
        <n v="22366.25"/>
        <n v="1815.86"/>
        <n v="4400.7"/>
        <n v="12042.02"/>
        <n v="-620.80999999999995"/>
        <n v="9517.5"/>
        <n v="1789.51"/>
        <n v="5730.82"/>
        <n v="-996.64"/>
        <n v="2142.2399999999998"/>
        <n v="-3992.43"/>
        <n v="-175.26"/>
        <n v="4420.29"/>
        <n v="-267.43"/>
        <n v="5325.34"/>
        <n v="1881.81"/>
        <n v="10713.77"/>
        <n v="-4077.37"/>
        <n v="11414.21"/>
        <n v="9408.4699999999993"/>
        <n v="-8720.94"/>
        <n v="-2985.7"/>
        <n v="11485.25"/>
        <n v="2130.4499999999998"/>
        <n v="13542.32"/>
        <n v="8342.5300000000007"/>
        <n v="8362.26"/>
        <n v="-1721.24"/>
        <n v="1466.59"/>
        <n v="3387.92"/>
        <n v="609.5"/>
        <n v="-9443.69"/>
        <n v="22748.28"/>
        <n v="-2781.01"/>
        <n v="-4618.13"/>
        <n v="7210.96"/>
        <n v="16259.37"/>
        <n v="10092.969999999999"/>
        <n v="1264.27"/>
        <n v="20927.23"/>
        <n v="14415.13"/>
        <n v="-1709.53"/>
        <n v="1047.9100000000001"/>
        <n v="3706.62"/>
        <n v="1167.6199999999999"/>
        <n v="18009.12"/>
        <n v="2663.82"/>
        <n v="-26.19"/>
        <n v="33620.160000000003"/>
        <n v="12311.39"/>
        <n v="1726.83"/>
        <n v="-29.28"/>
        <n v="16948.060000000001"/>
        <n v="4486.72"/>
        <n v="6454.45"/>
        <n v="-2062.02"/>
        <n v="980.11"/>
        <n v="-2239.77"/>
        <n v="14056.17"/>
        <n v="4492.7299999999996"/>
        <n v="-1389.67"/>
        <n v="10519.98"/>
        <n v="14267.15"/>
        <n v="3434.99"/>
        <n v="9172.59"/>
        <n v="3394.12"/>
        <n v="10260.06"/>
        <n v="2692.1"/>
        <n v="4208.97"/>
        <n v="2472.8200000000002"/>
        <n v="2489.65"/>
        <n v="15983.91"/>
        <n v="3000.76"/>
        <n v="1805.16"/>
        <n v="-8305.49"/>
        <n v="8896.57"/>
        <n v="4402.75"/>
        <n v="-1387.89"/>
        <n v="739.63"/>
        <n v="2136.2399999999998"/>
        <n v="-938.45"/>
        <n v="14198.59"/>
        <n v="936.14"/>
        <n v="-4577.03"/>
        <n v="17005.02"/>
        <n v="16765.439999999999"/>
        <n v="6452.74"/>
        <n v="10501.22"/>
        <n v="138.46"/>
        <n v="2.74"/>
        <n v="8784.0300000000007"/>
        <n v="1648.88"/>
        <n v="13584.51"/>
        <n v="-650.64"/>
        <n v="8898.57"/>
        <n v="5918.92"/>
        <n v="7023.46"/>
        <n v="2087.3200000000002"/>
        <n v="7845.2"/>
        <n v="30446.79"/>
        <n v="31205.86"/>
        <n v="1971.34"/>
        <n v="19173.810000000001"/>
        <n v="5244.03"/>
        <n v="16761.169999999998"/>
        <n v="24896.13"/>
        <n v="1025.9000000000001"/>
        <n v="11063.67"/>
        <n v="24923.78"/>
        <n v="7227.69"/>
        <n v="4250.2299999999996"/>
        <n v="8116.04"/>
        <n v="31107.57"/>
        <n v="13366.17"/>
        <n v="11775.8"/>
        <n v="7563.15"/>
        <n v="12735.8"/>
        <n v="40.479999999999997"/>
        <n v="4129.18"/>
        <n v="9246.2199999999993"/>
        <n v="5674.24"/>
        <n v="667.6"/>
        <n v="6185.72"/>
        <n v="13129.44"/>
        <n v="4746.1899999999996"/>
        <n v="5289.12"/>
        <n v="5741.52"/>
        <n v="10307.32"/>
        <n v="5508.75"/>
        <n v="3024.21"/>
        <n v="7133.36"/>
        <n v="-5775.36"/>
        <n v="-5842.61"/>
        <n v="-419.11"/>
        <n v="1911.27"/>
        <n v="14430.86"/>
        <n v="11152.1"/>
        <n v="-214.86"/>
        <n v="2187.36"/>
        <n v="871.94"/>
        <n v="5059.8599999999997"/>
        <n v="2036.17"/>
        <n v="3216.29"/>
        <n v="2563.06"/>
        <n v="-5038.1899999999996"/>
        <n v="16.100000000000001"/>
        <n v="8593.98"/>
        <n v="3251.25"/>
        <n v="6804.94"/>
        <n v="2301.09"/>
        <n v="1856.6"/>
        <n v="4364.5600000000004"/>
        <n v="486.6"/>
        <n v="9538.57"/>
        <n v="80.88"/>
        <n v="-6503.86"/>
        <n v="5800.99"/>
        <n v="3113.06"/>
        <n v="-1552.85"/>
        <n v="959.7"/>
        <n v="-2598.64"/>
        <n v="32033.3"/>
        <n v="-8764.31"/>
        <n v="13542.9"/>
        <n v="6767.36"/>
        <n v="2563.21"/>
        <n v="2070.19"/>
        <n v="-4362.3999999999996"/>
        <n v="11216.48"/>
        <n v="9095.42"/>
        <n v="1300.8599999999999"/>
        <n v="-257.02"/>
        <n v="1745.8"/>
        <n v="3401.22"/>
        <n v="2841.17"/>
        <n v="-170.79"/>
        <n v="1013.43"/>
        <n v="2105.2600000000002"/>
        <n v="15877.65"/>
        <n v="23663.46"/>
        <n v="1359.18"/>
        <n v="8398.66"/>
        <n v="-5793.32"/>
        <n v="-2191.7199999999998"/>
        <n v="5194.37"/>
        <n v="-11148.66"/>
        <n v="-5315.77"/>
        <n v="6542.32"/>
        <n v="9474.08"/>
        <n v="602.5"/>
        <n v="5772.47"/>
        <n v="1771"/>
        <n v="1563.8"/>
        <n v="16615.25"/>
        <n v="19378.080000000002"/>
        <n v="4319.08"/>
        <n v="13917.17"/>
        <n v="2558.7399999999998"/>
        <n v="16909.55"/>
        <n v="-834.93"/>
        <n v="8226.64"/>
        <n v="-618.79"/>
        <n v="2385.1799999999998"/>
        <n v="37.159999999999997"/>
        <n v="12609.99"/>
        <n v="11392.66"/>
        <n v="1120.8"/>
        <n v="1167.5"/>
        <n v="2748.1"/>
        <n v="1636.46"/>
        <n v="2784.01"/>
        <n v="-1034.3599999999999"/>
        <n v="-565.61"/>
        <n v="6636.22"/>
        <n v="293.68"/>
        <n v="752.22"/>
        <n v="9799.31"/>
        <n v="2295.17"/>
        <n v="2418.44"/>
        <n v="3676.92"/>
        <n v="931.16"/>
        <n v="2348"/>
        <n v="7732.29"/>
        <n v="612.29"/>
        <n v="1581.87"/>
        <n v="-1684.32"/>
        <n v="6131.63"/>
        <n v="1447.37"/>
        <n v="5098.1899999999996"/>
        <n v="-5721.84"/>
        <n v="19927.439999999999"/>
        <n v="14464.12"/>
        <n v="12384.36"/>
        <n v="-1168.26"/>
        <n v="12837.25"/>
        <n v="10920.44"/>
        <n v="3415.05"/>
        <n v="2461.37"/>
        <n v="20560.87"/>
        <n v="11609.06"/>
        <n v="22.83"/>
        <n v="6803.23"/>
        <n v="16341.02"/>
        <n v="13997.5"/>
        <n v="5529.46"/>
        <n v="3061.03"/>
        <n v="1707.49"/>
        <n v="11781.05"/>
        <n v="-1239.53"/>
        <n v="-11853.81"/>
        <n v="7484.1"/>
        <n v="3303.35"/>
        <n v="-1432.47"/>
        <n v="2868.11"/>
        <n v="3680.42"/>
        <n v="21426.74"/>
        <n v="1593.75"/>
        <n v="17080.47"/>
        <n v="1911.86"/>
        <n v="4907.5600000000004"/>
        <n v="16522.45"/>
        <n v="7074.12"/>
        <n v="10027.280000000001"/>
        <n v="3762.21"/>
        <n v="6923.33"/>
        <n v="-10122.52"/>
        <n v="418.75"/>
        <n v="5275.62"/>
        <n v="2059.6"/>
        <n v="11886.69"/>
        <n v="5995.89"/>
        <n v="11117.69"/>
        <n v="-3949.1"/>
        <n v="1281.8399999999999"/>
        <n v="-3120.39"/>
        <n v="-3002.06"/>
        <n v="9774.6299999999992"/>
        <n v="5753.48"/>
        <n v="1760.09"/>
        <n v="441.91"/>
        <n v="6097.17"/>
        <n v="-445.15"/>
        <n v="1620.38"/>
        <n v="19415.88"/>
        <n v="-1789.39"/>
        <n v="974.92"/>
      </sharedItems>
    </cacheField>
    <cacheField name="Months (Order_Date)" numFmtId="0" databaseField="0">
      <fieldGroup base="1">
        <rangePr groupBy="months" startDate="2024-01-01T00:00:00" endDate="2024-12-29T00:00:00"/>
        <groupItems count="14">
          <s v="&lt;1/1/2024"/>
          <s v="Jan"/>
          <s v="Feb"/>
          <s v="Mar"/>
          <s v="Apr"/>
          <s v="May"/>
          <s v="Jun"/>
          <s v="Jul"/>
          <s v="Aug"/>
          <s v="Sep"/>
          <s v="Oct"/>
          <s v="Nov"/>
          <s v="Dec"/>
          <s v="&gt;12/29/2024"/>
        </groupItems>
      </fieldGroup>
    </cacheField>
    <cacheField name="Years (Order_Date)" numFmtId="0" databaseField="0">
      <fieldGroup base="1">
        <rangePr groupBy="years" startDate="2024-01-01T00:00:00" endDate="2024-12-29T00:00:00"/>
        <groupItems count="3">
          <s v="&lt;1/1/2024"/>
          <s v="2024"/>
          <s v="&gt;12/29/2024"/>
        </groupItems>
      </fieldGroup>
    </cacheField>
  </cacheFields>
  <extLst>
    <ext xmlns:x14="http://schemas.microsoft.com/office/spreadsheetml/2009/9/main" uri="{725AE2AE-9491-48be-B2B4-4EB974FC3084}">
      <x14:pivotCacheDefinition pivotCacheId="509813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orporate"/>
    <x v="0"/>
    <x v="0"/>
    <x v="0"/>
    <x v="0"/>
    <n v="4"/>
    <n v="0"/>
    <x v="0"/>
  </r>
  <r>
    <x v="1"/>
    <x v="1"/>
    <s v="Consumer"/>
    <x v="1"/>
    <x v="1"/>
    <x v="1"/>
    <x v="1"/>
    <n v="3"/>
    <n v="0"/>
    <x v="1"/>
  </r>
  <r>
    <x v="2"/>
    <x v="2"/>
    <s v="Home Office"/>
    <x v="2"/>
    <x v="2"/>
    <x v="2"/>
    <x v="2"/>
    <n v="1"/>
    <n v="0.15"/>
    <x v="2"/>
  </r>
  <r>
    <x v="3"/>
    <x v="3"/>
    <s v="Consumer"/>
    <x v="1"/>
    <x v="1"/>
    <x v="3"/>
    <x v="3"/>
    <n v="5"/>
    <n v="0.1"/>
    <x v="3"/>
  </r>
  <r>
    <x v="4"/>
    <x v="4"/>
    <s v="Corporate"/>
    <x v="3"/>
    <x v="2"/>
    <x v="2"/>
    <x v="4"/>
    <n v="2"/>
    <n v="0.1"/>
    <x v="4"/>
  </r>
  <r>
    <x v="5"/>
    <x v="5"/>
    <s v="Consumer"/>
    <x v="0"/>
    <x v="1"/>
    <x v="0"/>
    <x v="5"/>
    <n v="4"/>
    <n v="0.15"/>
    <x v="5"/>
  </r>
  <r>
    <x v="6"/>
    <x v="6"/>
    <s v="Consumer"/>
    <x v="0"/>
    <x v="1"/>
    <x v="4"/>
    <x v="6"/>
    <n v="5"/>
    <n v="0.05"/>
    <x v="6"/>
  </r>
  <r>
    <x v="7"/>
    <x v="7"/>
    <s v="Home Office"/>
    <x v="3"/>
    <x v="2"/>
    <x v="5"/>
    <x v="7"/>
    <n v="10"/>
    <n v="0.15"/>
    <x v="7"/>
  </r>
  <r>
    <x v="8"/>
    <x v="8"/>
    <s v="Home Office"/>
    <x v="2"/>
    <x v="1"/>
    <x v="1"/>
    <x v="8"/>
    <n v="3"/>
    <n v="0.1"/>
    <x v="8"/>
  </r>
  <r>
    <x v="9"/>
    <x v="9"/>
    <s v="Consumer"/>
    <x v="0"/>
    <x v="1"/>
    <x v="0"/>
    <x v="9"/>
    <n v="4"/>
    <n v="0.15"/>
    <x v="9"/>
  </r>
  <r>
    <x v="10"/>
    <x v="10"/>
    <s v="Consumer"/>
    <x v="1"/>
    <x v="1"/>
    <x v="2"/>
    <x v="10"/>
    <n v="4"/>
    <n v="0.1"/>
    <x v="10"/>
  </r>
  <r>
    <x v="11"/>
    <x v="11"/>
    <s v="Corporate"/>
    <x v="2"/>
    <x v="0"/>
    <x v="2"/>
    <x v="11"/>
    <n v="2"/>
    <n v="0.05"/>
    <x v="11"/>
  </r>
  <r>
    <x v="12"/>
    <x v="12"/>
    <s v="Corporate"/>
    <x v="2"/>
    <x v="1"/>
    <x v="4"/>
    <x v="12"/>
    <n v="10"/>
    <n v="0.05"/>
    <x v="12"/>
  </r>
  <r>
    <x v="13"/>
    <x v="13"/>
    <s v="Consumer"/>
    <x v="0"/>
    <x v="2"/>
    <x v="6"/>
    <x v="13"/>
    <n v="5"/>
    <n v="0.1"/>
    <x v="13"/>
  </r>
  <r>
    <x v="14"/>
    <x v="14"/>
    <s v="Corporate"/>
    <x v="0"/>
    <x v="1"/>
    <x v="0"/>
    <x v="14"/>
    <n v="8"/>
    <n v="0.1"/>
    <x v="14"/>
  </r>
  <r>
    <x v="15"/>
    <x v="15"/>
    <s v="Consumer"/>
    <x v="0"/>
    <x v="0"/>
    <x v="5"/>
    <x v="15"/>
    <n v="8"/>
    <n v="0"/>
    <x v="15"/>
  </r>
  <r>
    <x v="16"/>
    <x v="16"/>
    <s v="Corporate"/>
    <x v="0"/>
    <x v="1"/>
    <x v="5"/>
    <x v="16"/>
    <n v="6"/>
    <n v="0.1"/>
    <x v="16"/>
  </r>
  <r>
    <x v="17"/>
    <x v="17"/>
    <s v="Consumer"/>
    <x v="0"/>
    <x v="1"/>
    <x v="3"/>
    <x v="17"/>
    <n v="9"/>
    <n v="0.15"/>
    <x v="17"/>
  </r>
  <r>
    <x v="18"/>
    <x v="18"/>
    <s v="Consumer"/>
    <x v="2"/>
    <x v="1"/>
    <x v="6"/>
    <x v="18"/>
    <n v="6"/>
    <n v="0.05"/>
    <x v="18"/>
  </r>
  <r>
    <x v="19"/>
    <x v="19"/>
    <s v="Consumer"/>
    <x v="1"/>
    <x v="2"/>
    <x v="3"/>
    <x v="19"/>
    <n v="8"/>
    <n v="0.15"/>
    <x v="19"/>
  </r>
  <r>
    <x v="20"/>
    <x v="20"/>
    <s v="Corporate"/>
    <x v="1"/>
    <x v="0"/>
    <x v="5"/>
    <x v="20"/>
    <n v="1"/>
    <n v="0.1"/>
    <x v="20"/>
  </r>
  <r>
    <x v="21"/>
    <x v="21"/>
    <s v="Home Office"/>
    <x v="2"/>
    <x v="0"/>
    <x v="0"/>
    <x v="21"/>
    <n v="6"/>
    <n v="0"/>
    <x v="21"/>
  </r>
  <r>
    <x v="22"/>
    <x v="22"/>
    <s v="Home Office"/>
    <x v="1"/>
    <x v="0"/>
    <x v="3"/>
    <x v="22"/>
    <n v="10"/>
    <n v="0.15"/>
    <x v="22"/>
  </r>
  <r>
    <x v="23"/>
    <x v="23"/>
    <s v="Consumer"/>
    <x v="1"/>
    <x v="1"/>
    <x v="2"/>
    <x v="23"/>
    <n v="3"/>
    <n v="0.05"/>
    <x v="23"/>
  </r>
  <r>
    <x v="24"/>
    <x v="24"/>
    <s v="Consumer"/>
    <x v="1"/>
    <x v="1"/>
    <x v="0"/>
    <x v="24"/>
    <n v="1"/>
    <n v="0.1"/>
    <x v="24"/>
  </r>
  <r>
    <x v="25"/>
    <x v="25"/>
    <s v="Consumer"/>
    <x v="3"/>
    <x v="0"/>
    <x v="1"/>
    <x v="25"/>
    <n v="8"/>
    <n v="0"/>
    <x v="25"/>
  </r>
  <r>
    <x v="26"/>
    <x v="26"/>
    <s v="Corporate"/>
    <x v="1"/>
    <x v="0"/>
    <x v="5"/>
    <x v="26"/>
    <n v="5"/>
    <n v="0.15"/>
    <x v="26"/>
  </r>
  <r>
    <x v="27"/>
    <x v="27"/>
    <s v="Corporate"/>
    <x v="0"/>
    <x v="1"/>
    <x v="4"/>
    <x v="27"/>
    <n v="2"/>
    <n v="0.15"/>
    <x v="27"/>
  </r>
  <r>
    <x v="28"/>
    <x v="28"/>
    <s v="Consumer"/>
    <x v="3"/>
    <x v="0"/>
    <x v="4"/>
    <x v="28"/>
    <n v="4"/>
    <n v="0"/>
    <x v="28"/>
  </r>
  <r>
    <x v="29"/>
    <x v="29"/>
    <s v="Home Office"/>
    <x v="0"/>
    <x v="2"/>
    <x v="5"/>
    <x v="29"/>
    <n v="10"/>
    <n v="0.05"/>
    <x v="29"/>
  </r>
  <r>
    <x v="30"/>
    <x v="30"/>
    <s v="Corporate"/>
    <x v="2"/>
    <x v="0"/>
    <x v="5"/>
    <x v="30"/>
    <n v="9"/>
    <n v="0"/>
    <x v="30"/>
  </r>
  <r>
    <x v="31"/>
    <x v="31"/>
    <s v="Corporate"/>
    <x v="0"/>
    <x v="2"/>
    <x v="6"/>
    <x v="31"/>
    <n v="10"/>
    <n v="0.15"/>
    <x v="31"/>
  </r>
  <r>
    <x v="32"/>
    <x v="32"/>
    <s v="Corporate"/>
    <x v="2"/>
    <x v="1"/>
    <x v="4"/>
    <x v="32"/>
    <n v="6"/>
    <n v="0"/>
    <x v="32"/>
  </r>
  <r>
    <x v="33"/>
    <x v="33"/>
    <s v="Home Office"/>
    <x v="0"/>
    <x v="2"/>
    <x v="1"/>
    <x v="33"/>
    <n v="3"/>
    <n v="0"/>
    <x v="33"/>
  </r>
  <r>
    <x v="34"/>
    <x v="34"/>
    <s v="Corporate"/>
    <x v="2"/>
    <x v="2"/>
    <x v="4"/>
    <x v="34"/>
    <n v="1"/>
    <n v="0.05"/>
    <x v="34"/>
  </r>
  <r>
    <x v="35"/>
    <x v="35"/>
    <s v="Consumer"/>
    <x v="3"/>
    <x v="0"/>
    <x v="6"/>
    <x v="35"/>
    <n v="1"/>
    <n v="0.05"/>
    <x v="35"/>
  </r>
  <r>
    <x v="36"/>
    <x v="3"/>
    <s v="Consumer"/>
    <x v="0"/>
    <x v="2"/>
    <x v="1"/>
    <x v="36"/>
    <n v="8"/>
    <n v="0.1"/>
    <x v="36"/>
  </r>
  <r>
    <x v="37"/>
    <x v="36"/>
    <s v="Home Office"/>
    <x v="2"/>
    <x v="1"/>
    <x v="2"/>
    <x v="37"/>
    <n v="1"/>
    <n v="0.15"/>
    <x v="37"/>
  </r>
  <r>
    <x v="38"/>
    <x v="37"/>
    <s v="Consumer"/>
    <x v="1"/>
    <x v="0"/>
    <x v="2"/>
    <x v="38"/>
    <n v="3"/>
    <n v="0.15"/>
    <x v="38"/>
  </r>
  <r>
    <x v="39"/>
    <x v="38"/>
    <s v="Corporate"/>
    <x v="0"/>
    <x v="1"/>
    <x v="2"/>
    <x v="39"/>
    <n v="7"/>
    <n v="0"/>
    <x v="39"/>
  </r>
  <r>
    <x v="40"/>
    <x v="39"/>
    <s v="Consumer"/>
    <x v="1"/>
    <x v="1"/>
    <x v="3"/>
    <x v="40"/>
    <n v="6"/>
    <n v="0.1"/>
    <x v="40"/>
  </r>
  <r>
    <x v="41"/>
    <x v="40"/>
    <s v="Home Office"/>
    <x v="2"/>
    <x v="1"/>
    <x v="2"/>
    <x v="41"/>
    <n v="6"/>
    <n v="0.05"/>
    <x v="41"/>
  </r>
  <r>
    <x v="42"/>
    <x v="41"/>
    <s v="Corporate"/>
    <x v="2"/>
    <x v="1"/>
    <x v="2"/>
    <x v="42"/>
    <n v="2"/>
    <n v="0"/>
    <x v="42"/>
  </r>
  <r>
    <x v="43"/>
    <x v="42"/>
    <s v="Home Office"/>
    <x v="3"/>
    <x v="0"/>
    <x v="3"/>
    <x v="43"/>
    <n v="5"/>
    <n v="0"/>
    <x v="43"/>
  </r>
  <r>
    <x v="44"/>
    <x v="43"/>
    <s v="Corporate"/>
    <x v="1"/>
    <x v="2"/>
    <x v="0"/>
    <x v="44"/>
    <n v="8"/>
    <n v="0.15"/>
    <x v="44"/>
  </r>
  <r>
    <x v="45"/>
    <x v="44"/>
    <s v="Home Office"/>
    <x v="2"/>
    <x v="2"/>
    <x v="3"/>
    <x v="45"/>
    <n v="4"/>
    <n v="0.05"/>
    <x v="45"/>
  </r>
  <r>
    <x v="46"/>
    <x v="23"/>
    <s v="Consumer"/>
    <x v="1"/>
    <x v="1"/>
    <x v="5"/>
    <x v="46"/>
    <n v="3"/>
    <n v="0"/>
    <x v="46"/>
  </r>
  <r>
    <x v="47"/>
    <x v="45"/>
    <s v="Corporate"/>
    <x v="0"/>
    <x v="2"/>
    <x v="2"/>
    <x v="47"/>
    <n v="8"/>
    <n v="0"/>
    <x v="47"/>
  </r>
  <r>
    <x v="48"/>
    <x v="46"/>
    <s v="Consumer"/>
    <x v="3"/>
    <x v="2"/>
    <x v="2"/>
    <x v="48"/>
    <n v="1"/>
    <n v="0.15"/>
    <x v="48"/>
  </r>
  <r>
    <x v="49"/>
    <x v="47"/>
    <s v="Home Office"/>
    <x v="0"/>
    <x v="0"/>
    <x v="5"/>
    <x v="49"/>
    <n v="1"/>
    <n v="0.15"/>
    <x v="49"/>
  </r>
  <r>
    <x v="50"/>
    <x v="17"/>
    <s v="Home Office"/>
    <x v="0"/>
    <x v="2"/>
    <x v="1"/>
    <x v="50"/>
    <n v="9"/>
    <n v="0"/>
    <x v="50"/>
  </r>
  <r>
    <x v="51"/>
    <x v="48"/>
    <s v="Corporate"/>
    <x v="3"/>
    <x v="0"/>
    <x v="1"/>
    <x v="51"/>
    <n v="7"/>
    <n v="0.05"/>
    <x v="51"/>
  </r>
  <r>
    <x v="52"/>
    <x v="49"/>
    <s v="Corporate"/>
    <x v="3"/>
    <x v="1"/>
    <x v="6"/>
    <x v="52"/>
    <n v="10"/>
    <n v="0.15"/>
    <x v="52"/>
  </r>
  <r>
    <x v="53"/>
    <x v="50"/>
    <s v="Corporate"/>
    <x v="3"/>
    <x v="0"/>
    <x v="6"/>
    <x v="53"/>
    <n v="7"/>
    <n v="0.15"/>
    <x v="53"/>
  </r>
  <r>
    <x v="54"/>
    <x v="51"/>
    <s v="Consumer"/>
    <x v="1"/>
    <x v="2"/>
    <x v="4"/>
    <x v="54"/>
    <n v="10"/>
    <n v="0"/>
    <x v="54"/>
  </r>
  <r>
    <x v="55"/>
    <x v="52"/>
    <s v="Home Office"/>
    <x v="0"/>
    <x v="2"/>
    <x v="1"/>
    <x v="55"/>
    <n v="2"/>
    <n v="0.05"/>
    <x v="55"/>
  </r>
  <r>
    <x v="56"/>
    <x v="53"/>
    <s v="Corporate"/>
    <x v="2"/>
    <x v="0"/>
    <x v="2"/>
    <x v="56"/>
    <n v="6"/>
    <n v="0"/>
    <x v="56"/>
  </r>
  <r>
    <x v="57"/>
    <x v="2"/>
    <s v="Consumer"/>
    <x v="1"/>
    <x v="1"/>
    <x v="6"/>
    <x v="57"/>
    <n v="8"/>
    <n v="0.15"/>
    <x v="57"/>
  </r>
  <r>
    <x v="58"/>
    <x v="26"/>
    <s v="Home Office"/>
    <x v="0"/>
    <x v="2"/>
    <x v="3"/>
    <x v="58"/>
    <n v="9"/>
    <n v="0.05"/>
    <x v="58"/>
  </r>
  <r>
    <x v="59"/>
    <x v="33"/>
    <s v="Consumer"/>
    <x v="2"/>
    <x v="1"/>
    <x v="0"/>
    <x v="59"/>
    <n v="8"/>
    <n v="0.05"/>
    <x v="59"/>
  </r>
  <r>
    <x v="60"/>
    <x v="54"/>
    <s v="Corporate"/>
    <x v="0"/>
    <x v="0"/>
    <x v="1"/>
    <x v="60"/>
    <n v="2"/>
    <n v="0.15"/>
    <x v="60"/>
  </r>
  <r>
    <x v="61"/>
    <x v="2"/>
    <s v="Corporate"/>
    <x v="2"/>
    <x v="2"/>
    <x v="5"/>
    <x v="61"/>
    <n v="4"/>
    <n v="0.15"/>
    <x v="61"/>
  </r>
  <r>
    <x v="62"/>
    <x v="55"/>
    <s v="Corporate"/>
    <x v="2"/>
    <x v="2"/>
    <x v="5"/>
    <x v="62"/>
    <n v="2"/>
    <n v="0.1"/>
    <x v="62"/>
  </r>
  <r>
    <x v="63"/>
    <x v="56"/>
    <s v="Home Office"/>
    <x v="0"/>
    <x v="0"/>
    <x v="1"/>
    <x v="63"/>
    <n v="10"/>
    <n v="0.15"/>
    <x v="63"/>
  </r>
  <r>
    <x v="64"/>
    <x v="23"/>
    <s v="Consumer"/>
    <x v="3"/>
    <x v="1"/>
    <x v="0"/>
    <x v="64"/>
    <n v="7"/>
    <n v="0"/>
    <x v="64"/>
  </r>
  <r>
    <x v="65"/>
    <x v="57"/>
    <s v="Corporate"/>
    <x v="2"/>
    <x v="0"/>
    <x v="6"/>
    <x v="65"/>
    <n v="2"/>
    <n v="0.1"/>
    <x v="65"/>
  </r>
  <r>
    <x v="66"/>
    <x v="58"/>
    <s v="Consumer"/>
    <x v="3"/>
    <x v="2"/>
    <x v="2"/>
    <x v="66"/>
    <n v="4"/>
    <n v="0.05"/>
    <x v="66"/>
  </r>
  <r>
    <x v="67"/>
    <x v="59"/>
    <s v="Consumer"/>
    <x v="0"/>
    <x v="1"/>
    <x v="5"/>
    <x v="67"/>
    <n v="6"/>
    <n v="0.1"/>
    <x v="67"/>
  </r>
  <r>
    <x v="68"/>
    <x v="60"/>
    <s v="Corporate"/>
    <x v="2"/>
    <x v="1"/>
    <x v="4"/>
    <x v="68"/>
    <n v="10"/>
    <n v="0.15"/>
    <x v="68"/>
  </r>
  <r>
    <x v="69"/>
    <x v="61"/>
    <s v="Home Office"/>
    <x v="1"/>
    <x v="0"/>
    <x v="5"/>
    <x v="69"/>
    <n v="7"/>
    <n v="0"/>
    <x v="69"/>
  </r>
  <r>
    <x v="70"/>
    <x v="7"/>
    <s v="Corporate"/>
    <x v="3"/>
    <x v="2"/>
    <x v="0"/>
    <x v="70"/>
    <n v="9"/>
    <n v="0.1"/>
    <x v="70"/>
  </r>
  <r>
    <x v="71"/>
    <x v="62"/>
    <s v="Consumer"/>
    <x v="3"/>
    <x v="1"/>
    <x v="5"/>
    <x v="71"/>
    <n v="10"/>
    <n v="0.1"/>
    <x v="71"/>
  </r>
  <r>
    <x v="72"/>
    <x v="63"/>
    <s v="Corporate"/>
    <x v="1"/>
    <x v="1"/>
    <x v="1"/>
    <x v="72"/>
    <n v="3"/>
    <n v="0.05"/>
    <x v="72"/>
  </r>
  <r>
    <x v="73"/>
    <x v="64"/>
    <s v="Corporate"/>
    <x v="0"/>
    <x v="2"/>
    <x v="2"/>
    <x v="73"/>
    <n v="9"/>
    <n v="0"/>
    <x v="73"/>
  </r>
  <r>
    <x v="74"/>
    <x v="1"/>
    <s v="Consumer"/>
    <x v="3"/>
    <x v="1"/>
    <x v="5"/>
    <x v="74"/>
    <n v="10"/>
    <n v="0"/>
    <x v="74"/>
  </r>
  <r>
    <x v="75"/>
    <x v="65"/>
    <s v="Consumer"/>
    <x v="2"/>
    <x v="2"/>
    <x v="6"/>
    <x v="75"/>
    <n v="5"/>
    <n v="0.15"/>
    <x v="75"/>
  </r>
  <r>
    <x v="76"/>
    <x v="66"/>
    <s v="Consumer"/>
    <x v="0"/>
    <x v="0"/>
    <x v="4"/>
    <x v="76"/>
    <n v="3"/>
    <n v="0"/>
    <x v="76"/>
  </r>
  <r>
    <x v="77"/>
    <x v="16"/>
    <s v="Home Office"/>
    <x v="1"/>
    <x v="1"/>
    <x v="3"/>
    <x v="77"/>
    <n v="6"/>
    <n v="0.1"/>
    <x v="77"/>
  </r>
  <r>
    <x v="78"/>
    <x v="67"/>
    <s v="Home Office"/>
    <x v="1"/>
    <x v="0"/>
    <x v="2"/>
    <x v="78"/>
    <n v="6"/>
    <n v="0.05"/>
    <x v="78"/>
  </r>
  <r>
    <x v="79"/>
    <x v="52"/>
    <s v="Consumer"/>
    <x v="1"/>
    <x v="1"/>
    <x v="1"/>
    <x v="79"/>
    <n v="3"/>
    <n v="0.1"/>
    <x v="79"/>
  </r>
  <r>
    <x v="80"/>
    <x v="67"/>
    <s v="Corporate"/>
    <x v="0"/>
    <x v="2"/>
    <x v="4"/>
    <x v="80"/>
    <n v="9"/>
    <n v="0.1"/>
    <x v="80"/>
  </r>
  <r>
    <x v="81"/>
    <x v="68"/>
    <s v="Home Office"/>
    <x v="2"/>
    <x v="1"/>
    <x v="1"/>
    <x v="81"/>
    <n v="5"/>
    <n v="0.05"/>
    <x v="81"/>
  </r>
  <r>
    <x v="82"/>
    <x v="33"/>
    <s v="Consumer"/>
    <x v="2"/>
    <x v="2"/>
    <x v="1"/>
    <x v="82"/>
    <n v="5"/>
    <n v="0.1"/>
    <x v="82"/>
  </r>
  <r>
    <x v="83"/>
    <x v="69"/>
    <s v="Corporate"/>
    <x v="0"/>
    <x v="1"/>
    <x v="6"/>
    <x v="83"/>
    <n v="5"/>
    <n v="0.1"/>
    <x v="83"/>
  </r>
  <r>
    <x v="84"/>
    <x v="70"/>
    <s v="Home Office"/>
    <x v="0"/>
    <x v="2"/>
    <x v="6"/>
    <x v="84"/>
    <n v="10"/>
    <n v="0.1"/>
    <x v="84"/>
  </r>
  <r>
    <x v="85"/>
    <x v="71"/>
    <s v="Home Office"/>
    <x v="2"/>
    <x v="1"/>
    <x v="1"/>
    <x v="85"/>
    <n v="3"/>
    <n v="0"/>
    <x v="85"/>
  </r>
  <r>
    <x v="86"/>
    <x v="72"/>
    <s v="Consumer"/>
    <x v="2"/>
    <x v="0"/>
    <x v="3"/>
    <x v="86"/>
    <n v="1"/>
    <n v="0.1"/>
    <x v="86"/>
  </r>
  <r>
    <x v="87"/>
    <x v="13"/>
    <s v="Consumer"/>
    <x v="3"/>
    <x v="2"/>
    <x v="0"/>
    <x v="87"/>
    <n v="10"/>
    <n v="0"/>
    <x v="87"/>
  </r>
  <r>
    <x v="88"/>
    <x v="73"/>
    <s v="Consumer"/>
    <x v="1"/>
    <x v="0"/>
    <x v="6"/>
    <x v="88"/>
    <n v="2"/>
    <n v="0.05"/>
    <x v="88"/>
  </r>
  <r>
    <x v="89"/>
    <x v="74"/>
    <s v="Consumer"/>
    <x v="2"/>
    <x v="0"/>
    <x v="5"/>
    <x v="89"/>
    <n v="5"/>
    <n v="0.15"/>
    <x v="89"/>
  </r>
  <r>
    <x v="90"/>
    <x v="75"/>
    <s v="Corporate"/>
    <x v="1"/>
    <x v="2"/>
    <x v="6"/>
    <x v="90"/>
    <n v="5"/>
    <n v="0.15"/>
    <x v="90"/>
  </r>
  <r>
    <x v="91"/>
    <x v="76"/>
    <s v="Consumer"/>
    <x v="0"/>
    <x v="1"/>
    <x v="5"/>
    <x v="91"/>
    <n v="9"/>
    <n v="0"/>
    <x v="91"/>
  </r>
  <r>
    <x v="92"/>
    <x v="43"/>
    <s v="Home Office"/>
    <x v="1"/>
    <x v="1"/>
    <x v="0"/>
    <x v="92"/>
    <n v="8"/>
    <n v="0.15"/>
    <x v="92"/>
  </r>
  <r>
    <x v="93"/>
    <x v="77"/>
    <s v="Consumer"/>
    <x v="3"/>
    <x v="1"/>
    <x v="5"/>
    <x v="93"/>
    <n v="7"/>
    <n v="0"/>
    <x v="93"/>
  </r>
  <r>
    <x v="94"/>
    <x v="78"/>
    <s v="Home Office"/>
    <x v="1"/>
    <x v="2"/>
    <x v="2"/>
    <x v="94"/>
    <n v="6"/>
    <n v="0.05"/>
    <x v="94"/>
  </r>
  <r>
    <x v="95"/>
    <x v="79"/>
    <s v="Home Office"/>
    <x v="2"/>
    <x v="0"/>
    <x v="0"/>
    <x v="95"/>
    <n v="4"/>
    <n v="0.05"/>
    <x v="95"/>
  </r>
  <r>
    <x v="96"/>
    <x v="80"/>
    <s v="Consumer"/>
    <x v="0"/>
    <x v="0"/>
    <x v="4"/>
    <x v="96"/>
    <n v="3"/>
    <n v="0.1"/>
    <x v="96"/>
  </r>
  <r>
    <x v="97"/>
    <x v="81"/>
    <s v="Consumer"/>
    <x v="0"/>
    <x v="0"/>
    <x v="5"/>
    <x v="97"/>
    <n v="9"/>
    <n v="0.05"/>
    <x v="97"/>
  </r>
  <r>
    <x v="98"/>
    <x v="82"/>
    <s v="Home Office"/>
    <x v="3"/>
    <x v="1"/>
    <x v="3"/>
    <x v="98"/>
    <n v="3"/>
    <n v="0.05"/>
    <x v="98"/>
  </r>
  <r>
    <x v="99"/>
    <x v="39"/>
    <s v="Home Office"/>
    <x v="0"/>
    <x v="1"/>
    <x v="2"/>
    <x v="99"/>
    <n v="7"/>
    <n v="0"/>
    <x v="99"/>
  </r>
  <r>
    <x v="100"/>
    <x v="83"/>
    <s v="Corporate"/>
    <x v="1"/>
    <x v="1"/>
    <x v="4"/>
    <x v="100"/>
    <n v="3"/>
    <n v="0"/>
    <x v="100"/>
  </r>
  <r>
    <x v="101"/>
    <x v="84"/>
    <s v="Consumer"/>
    <x v="1"/>
    <x v="0"/>
    <x v="0"/>
    <x v="101"/>
    <n v="4"/>
    <n v="0"/>
    <x v="101"/>
  </r>
  <r>
    <x v="102"/>
    <x v="85"/>
    <s v="Consumer"/>
    <x v="2"/>
    <x v="0"/>
    <x v="6"/>
    <x v="102"/>
    <n v="1"/>
    <n v="0.1"/>
    <x v="102"/>
  </r>
  <r>
    <x v="103"/>
    <x v="74"/>
    <s v="Home Office"/>
    <x v="3"/>
    <x v="2"/>
    <x v="0"/>
    <x v="103"/>
    <n v="1"/>
    <n v="0.15"/>
    <x v="103"/>
  </r>
  <r>
    <x v="104"/>
    <x v="15"/>
    <s v="Consumer"/>
    <x v="2"/>
    <x v="2"/>
    <x v="3"/>
    <x v="104"/>
    <n v="1"/>
    <n v="0.15"/>
    <x v="104"/>
  </r>
  <r>
    <x v="105"/>
    <x v="28"/>
    <s v="Consumer"/>
    <x v="2"/>
    <x v="0"/>
    <x v="6"/>
    <x v="105"/>
    <n v="4"/>
    <n v="0"/>
    <x v="105"/>
  </r>
  <r>
    <x v="106"/>
    <x v="86"/>
    <s v="Corporate"/>
    <x v="3"/>
    <x v="2"/>
    <x v="6"/>
    <x v="106"/>
    <n v="6"/>
    <n v="0.05"/>
    <x v="106"/>
  </r>
  <r>
    <x v="107"/>
    <x v="87"/>
    <s v="Consumer"/>
    <x v="1"/>
    <x v="1"/>
    <x v="5"/>
    <x v="107"/>
    <n v="1"/>
    <n v="0"/>
    <x v="107"/>
  </r>
  <r>
    <x v="108"/>
    <x v="17"/>
    <s v="Corporate"/>
    <x v="0"/>
    <x v="2"/>
    <x v="0"/>
    <x v="108"/>
    <n v="8"/>
    <n v="0"/>
    <x v="108"/>
  </r>
  <r>
    <x v="109"/>
    <x v="88"/>
    <s v="Consumer"/>
    <x v="1"/>
    <x v="1"/>
    <x v="2"/>
    <x v="109"/>
    <n v="3"/>
    <n v="0"/>
    <x v="109"/>
  </r>
  <r>
    <x v="110"/>
    <x v="89"/>
    <s v="Home Office"/>
    <x v="3"/>
    <x v="2"/>
    <x v="5"/>
    <x v="110"/>
    <n v="10"/>
    <n v="0.05"/>
    <x v="110"/>
  </r>
  <r>
    <x v="111"/>
    <x v="68"/>
    <s v="Home Office"/>
    <x v="0"/>
    <x v="0"/>
    <x v="1"/>
    <x v="111"/>
    <n v="2"/>
    <n v="0.05"/>
    <x v="111"/>
  </r>
  <r>
    <x v="112"/>
    <x v="90"/>
    <s v="Home Office"/>
    <x v="0"/>
    <x v="1"/>
    <x v="4"/>
    <x v="112"/>
    <n v="1"/>
    <n v="0"/>
    <x v="112"/>
  </r>
  <r>
    <x v="113"/>
    <x v="91"/>
    <s v="Corporate"/>
    <x v="0"/>
    <x v="0"/>
    <x v="5"/>
    <x v="113"/>
    <n v="5"/>
    <n v="0.1"/>
    <x v="113"/>
  </r>
  <r>
    <x v="114"/>
    <x v="92"/>
    <s v="Consumer"/>
    <x v="2"/>
    <x v="2"/>
    <x v="5"/>
    <x v="114"/>
    <n v="8"/>
    <n v="0"/>
    <x v="114"/>
  </r>
  <r>
    <x v="115"/>
    <x v="17"/>
    <s v="Home Office"/>
    <x v="3"/>
    <x v="0"/>
    <x v="0"/>
    <x v="115"/>
    <n v="8"/>
    <n v="0"/>
    <x v="115"/>
  </r>
  <r>
    <x v="116"/>
    <x v="93"/>
    <s v="Corporate"/>
    <x v="2"/>
    <x v="1"/>
    <x v="3"/>
    <x v="116"/>
    <n v="7"/>
    <n v="0.05"/>
    <x v="116"/>
  </r>
  <r>
    <x v="117"/>
    <x v="84"/>
    <s v="Consumer"/>
    <x v="3"/>
    <x v="2"/>
    <x v="0"/>
    <x v="117"/>
    <n v="3"/>
    <n v="0.05"/>
    <x v="117"/>
  </r>
  <r>
    <x v="118"/>
    <x v="94"/>
    <s v="Consumer"/>
    <x v="2"/>
    <x v="0"/>
    <x v="2"/>
    <x v="118"/>
    <n v="3"/>
    <n v="0.15"/>
    <x v="118"/>
  </r>
  <r>
    <x v="119"/>
    <x v="58"/>
    <s v="Consumer"/>
    <x v="2"/>
    <x v="0"/>
    <x v="2"/>
    <x v="119"/>
    <n v="7"/>
    <n v="0"/>
    <x v="119"/>
  </r>
  <r>
    <x v="120"/>
    <x v="95"/>
    <s v="Consumer"/>
    <x v="3"/>
    <x v="1"/>
    <x v="6"/>
    <x v="120"/>
    <n v="5"/>
    <n v="0.1"/>
    <x v="120"/>
  </r>
  <r>
    <x v="121"/>
    <x v="96"/>
    <s v="Consumer"/>
    <x v="2"/>
    <x v="1"/>
    <x v="4"/>
    <x v="121"/>
    <n v="8"/>
    <n v="0.05"/>
    <x v="121"/>
  </r>
  <r>
    <x v="122"/>
    <x v="97"/>
    <s v="Corporate"/>
    <x v="2"/>
    <x v="0"/>
    <x v="2"/>
    <x v="122"/>
    <n v="10"/>
    <n v="0"/>
    <x v="122"/>
  </r>
  <r>
    <x v="123"/>
    <x v="98"/>
    <s v="Home Office"/>
    <x v="0"/>
    <x v="0"/>
    <x v="0"/>
    <x v="123"/>
    <n v="8"/>
    <n v="0.05"/>
    <x v="123"/>
  </r>
  <r>
    <x v="124"/>
    <x v="99"/>
    <s v="Home Office"/>
    <x v="3"/>
    <x v="1"/>
    <x v="5"/>
    <x v="124"/>
    <n v="8"/>
    <n v="0"/>
    <x v="124"/>
  </r>
  <r>
    <x v="125"/>
    <x v="100"/>
    <s v="Corporate"/>
    <x v="3"/>
    <x v="2"/>
    <x v="2"/>
    <x v="125"/>
    <n v="10"/>
    <n v="0.1"/>
    <x v="125"/>
  </r>
  <r>
    <x v="126"/>
    <x v="18"/>
    <s v="Consumer"/>
    <x v="1"/>
    <x v="2"/>
    <x v="4"/>
    <x v="126"/>
    <n v="4"/>
    <n v="0.05"/>
    <x v="126"/>
  </r>
  <r>
    <x v="127"/>
    <x v="101"/>
    <s v="Consumer"/>
    <x v="3"/>
    <x v="0"/>
    <x v="0"/>
    <x v="127"/>
    <n v="10"/>
    <n v="0"/>
    <x v="127"/>
  </r>
  <r>
    <x v="128"/>
    <x v="102"/>
    <s v="Corporate"/>
    <x v="0"/>
    <x v="1"/>
    <x v="2"/>
    <x v="128"/>
    <n v="10"/>
    <n v="0.05"/>
    <x v="128"/>
  </r>
  <r>
    <x v="129"/>
    <x v="44"/>
    <s v="Corporate"/>
    <x v="3"/>
    <x v="2"/>
    <x v="4"/>
    <x v="129"/>
    <n v="5"/>
    <n v="0.05"/>
    <x v="129"/>
  </r>
  <r>
    <x v="130"/>
    <x v="103"/>
    <s v="Home Office"/>
    <x v="1"/>
    <x v="2"/>
    <x v="1"/>
    <x v="130"/>
    <n v="5"/>
    <n v="0"/>
    <x v="130"/>
  </r>
  <r>
    <x v="131"/>
    <x v="104"/>
    <s v="Corporate"/>
    <x v="0"/>
    <x v="0"/>
    <x v="6"/>
    <x v="131"/>
    <n v="6"/>
    <n v="0.1"/>
    <x v="131"/>
  </r>
  <r>
    <x v="132"/>
    <x v="105"/>
    <s v="Consumer"/>
    <x v="2"/>
    <x v="1"/>
    <x v="6"/>
    <x v="132"/>
    <n v="2"/>
    <n v="0.15"/>
    <x v="132"/>
  </r>
  <r>
    <x v="133"/>
    <x v="61"/>
    <s v="Consumer"/>
    <x v="1"/>
    <x v="1"/>
    <x v="5"/>
    <x v="133"/>
    <n v="7"/>
    <n v="0"/>
    <x v="133"/>
  </r>
  <r>
    <x v="134"/>
    <x v="106"/>
    <s v="Home Office"/>
    <x v="1"/>
    <x v="2"/>
    <x v="0"/>
    <x v="134"/>
    <n v="8"/>
    <n v="0.15"/>
    <x v="134"/>
  </r>
  <r>
    <x v="135"/>
    <x v="64"/>
    <s v="Consumer"/>
    <x v="1"/>
    <x v="1"/>
    <x v="3"/>
    <x v="135"/>
    <n v="1"/>
    <n v="0.05"/>
    <x v="135"/>
  </r>
  <r>
    <x v="136"/>
    <x v="17"/>
    <s v="Corporate"/>
    <x v="3"/>
    <x v="2"/>
    <x v="3"/>
    <x v="136"/>
    <n v="1"/>
    <n v="0"/>
    <x v="136"/>
  </r>
  <r>
    <x v="137"/>
    <x v="107"/>
    <s v="Consumer"/>
    <x v="3"/>
    <x v="1"/>
    <x v="6"/>
    <x v="137"/>
    <n v="6"/>
    <n v="0.05"/>
    <x v="137"/>
  </r>
  <r>
    <x v="138"/>
    <x v="108"/>
    <s v="Consumer"/>
    <x v="1"/>
    <x v="2"/>
    <x v="3"/>
    <x v="138"/>
    <n v="6"/>
    <n v="0.15"/>
    <x v="138"/>
  </r>
  <r>
    <x v="139"/>
    <x v="17"/>
    <s v="Consumer"/>
    <x v="1"/>
    <x v="1"/>
    <x v="1"/>
    <x v="139"/>
    <n v="8"/>
    <n v="0.15"/>
    <x v="139"/>
  </r>
  <r>
    <x v="140"/>
    <x v="109"/>
    <s v="Consumer"/>
    <x v="1"/>
    <x v="2"/>
    <x v="0"/>
    <x v="140"/>
    <n v="3"/>
    <n v="0"/>
    <x v="140"/>
  </r>
  <r>
    <x v="141"/>
    <x v="110"/>
    <s v="Home Office"/>
    <x v="2"/>
    <x v="0"/>
    <x v="1"/>
    <x v="141"/>
    <n v="6"/>
    <n v="0.05"/>
    <x v="141"/>
  </r>
  <r>
    <x v="142"/>
    <x v="18"/>
    <s v="Home Office"/>
    <x v="3"/>
    <x v="1"/>
    <x v="4"/>
    <x v="142"/>
    <n v="9"/>
    <n v="0.15"/>
    <x v="142"/>
  </r>
  <r>
    <x v="143"/>
    <x v="111"/>
    <s v="Corporate"/>
    <x v="0"/>
    <x v="0"/>
    <x v="4"/>
    <x v="143"/>
    <n v="2"/>
    <n v="0.05"/>
    <x v="143"/>
  </r>
  <r>
    <x v="144"/>
    <x v="35"/>
    <s v="Consumer"/>
    <x v="1"/>
    <x v="1"/>
    <x v="2"/>
    <x v="144"/>
    <n v="6"/>
    <n v="0.05"/>
    <x v="144"/>
  </r>
  <r>
    <x v="145"/>
    <x v="112"/>
    <s v="Consumer"/>
    <x v="1"/>
    <x v="2"/>
    <x v="3"/>
    <x v="145"/>
    <n v="1"/>
    <n v="0"/>
    <x v="145"/>
  </r>
  <r>
    <x v="146"/>
    <x v="113"/>
    <s v="Corporate"/>
    <x v="3"/>
    <x v="1"/>
    <x v="4"/>
    <x v="146"/>
    <n v="8"/>
    <n v="0.15"/>
    <x v="146"/>
  </r>
  <r>
    <x v="147"/>
    <x v="114"/>
    <s v="Corporate"/>
    <x v="0"/>
    <x v="0"/>
    <x v="6"/>
    <x v="147"/>
    <n v="7"/>
    <n v="0.1"/>
    <x v="147"/>
  </r>
  <r>
    <x v="148"/>
    <x v="115"/>
    <s v="Consumer"/>
    <x v="0"/>
    <x v="0"/>
    <x v="3"/>
    <x v="148"/>
    <n v="3"/>
    <n v="0"/>
    <x v="148"/>
  </r>
  <r>
    <x v="149"/>
    <x v="116"/>
    <s v="Home Office"/>
    <x v="1"/>
    <x v="1"/>
    <x v="0"/>
    <x v="149"/>
    <n v="4"/>
    <n v="0.1"/>
    <x v="149"/>
  </r>
  <r>
    <x v="150"/>
    <x v="117"/>
    <s v="Home Office"/>
    <x v="0"/>
    <x v="0"/>
    <x v="1"/>
    <x v="150"/>
    <n v="1"/>
    <n v="0"/>
    <x v="150"/>
  </r>
  <r>
    <x v="151"/>
    <x v="106"/>
    <s v="Corporate"/>
    <x v="3"/>
    <x v="2"/>
    <x v="2"/>
    <x v="151"/>
    <n v="1"/>
    <n v="0.05"/>
    <x v="151"/>
  </r>
  <r>
    <x v="152"/>
    <x v="4"/>
    <s v="Consumer"/>
    <x v="3"/>
    <x v="0"/>
    <x v="0"/>
    <x v="152"/>
    <n v="2"/>
    <n v="0"/>
    <x v="152"/>
  </r>
  <r>
    <x v="153"/>
    <x v="57"/>
    <s v="Consumer"/>
    <x v="3"/>
    <x v="0"/>
    <x v="2"/>
    <x v="153"/>
    <n v="4"/>
    <n v="0.1"/>
    <x v="153"/>
  </r>
  <r>
    <x v="154"/>
    <x v="118"/>
    <s v="Consumer"/>
    <x v="2"/>
    <x v="1"/>
    <x v="4"/>
    <x v="154"/>
    <n v="5"/>
    <n v="0.05"/>
    <x v="154"/>
  </r>
  <r>
    <x v="155"/>
    <x v="119"/>
    <s v="Consumer"/>
    <x v="2"/>
    <x v="0"/>
    <x v="6"/>
    <x v="155"/>
    <n v="4"/>
    <n v="0.05"/>
    <x v="155"/>
  </r>
  <r>
    <x v="156"/>
    <x v="120"/>
    <s v="Consumer"/>
    <x v="0"/>
    <x v="2"/>
    <x v="3"/>
    <x v="156"/>
    <n v="9"/>
    <n v="0"/>
    <x v="156"/>
  </r>
  <r>
    <x v="157"/>
    <x v="121"/>
    <s v="Corporate"/>
    <x v="0"/>
    <x v="2"/>
    <x v="0"/>
    <x v="157"/>
    <n v="1"/>
    <n v="0.15"/>
    <x v="157"/>
  </r>
  <r>
    <x v="158"/>
    <x v="122"/>
    <s v="Consumer"/>
    <x v="3"/>
    <x v="2"/>
    <x v="4"/>
    <x v="158"/>
    <n v="6"/>
    <n v="0.05"/>
    <x v="158"/>
  </r>
  <r>
    <x v="159"/>
    <x v="123"/>
    <s v="Consumer"/>
    <x v="3"/>
    <x v="1"/>
    <x v="0"/>
    <x v="159"/>
    <n v="6"/>
    <n v="0.05"/>
    <x v="159"/>
  </r>
  <r>
    <x v="160"/>
    <x v="124"/>
    <s v="Corporate"/>
    <x v="0"/>
    <x v="1"/>
    <x v="3"/>
    <x v="160"/>
    <n v="1"/>
    <n v="0.1"/>
    <x v="160"/>
  </r>
  <r>
    <x v="161"/>
    <x v="119"/>
    <s v="Home Office"/>
    <x v="3"/>
    <x v="2"/>
    <x v="0"/>
    <x v="161"/>
    <n v="1"/>
    <n v="0.1"/>
    <x v="161"/>
  </r>
  <r>
    <x v="162"/>
    <x v="125"/>
    <s v="Consumer"/>
    <x v="0"/>
    <x v="2"/>
    <x v="3"/>
    <x v="162"/>
    <n v="1"/>
    <n v="0.1"/>
    <x v="162"/>
  </r>
  <r>
    <x v="163"/>
    <x v="23"/>
    <s v="Corporate"/>
    <x v="0"/>
    <x v="1"/>
    <x v="5"/>
    <x v="163"/>
    <n v="8"/>
    <n v="0.1"/>
    <x v="163"/>
  </r>
  <r>
    <x v="164"/>
    <x v="28"/>
    <s v="Corporate"/>
    <x v="0"/>
    <x v="2"/>
    <x v="5"/>
    <x v="164"/>
    <n v="9"/>
    <n v="0"/>
    <x v="164"/>
  </r>
  <r>
    <x v="165"/>
    <x v="44"/>
    <s v="Corporate"/>
    <x v="1"/>
    <x v="1"/>
    <x v="1"/>
    <x v="165"/>
    <n v="6"/>
    <n v="0.1"/>
    <x v="165"/>
  </r>
  <r>
    <x v="166"/>
    <x v="126"/>
    <s v="Corporate"/>
    <x v="3"/>
    <x v="0"/>
    <x v="3"/>
    <x v="166"/>
    <n v="6"/>
    <n v="0.15"/>
    <x v="166"/>
  </r>
  <r>
    <x v="167"/>
    <x v="127"/>
    <s v="Consumer"/>
    <x v="0"/>
    <x v="0"/>
    <x v="6"/>
    <x v="167"/>
    <n v="2"/>
    <n v="0.1"/>
    <x v="167"/>
  </r>
  <r>
    <x v="168"/>
    <x v="128"/>
    <s v="Consumer"/>
    <x v="2"/>
    <x v="1"/>
    <x v="5"/>
    <x v="168"/>
    <n v="10"/>
    <n v="0.1"/>
    <x v="168"/>
  </r>
  <r>
    <x v="169"/>
    <x v="129"/>
    <s v="Corporate"/>
    <x v="1"/>
    <x v="1"/>
    <x v="5"/>
    <x v="169"/>
    <n v="1"/>
    <n v="0"/>
    <x v="169"/>
  </r>
  <r>
    <x v="170"/>
    <x v="130"/>
    <s v="Corporate"/>
    <x v="0"/>
    <x v="2"/>
    <x v="5"/>
    <x v="170"/>
    <n v="5"/>
    <n v="0.15"/>
    <x v="170"/>
  </r>
  <r>
    <x v="171"/>
    <x v="51"/>
    <s v="Consumer"/>
    <x v="3"/>
    <x v="1"/>
    <x v="5"/>
    <x v="171"/>
    <n v="5"/>
    <n v="0.15"/>
    <x v="171"/>
  </r>
  <r>
    <x v="172"/>
    <x v="131"/>
    <s v="Corporate"/>
    <x v="2"/>
    <x v="0"/>
    <x v="6"/>
    <x v="172"/>
    <n v="7"/>
    <n v="0.05"/>
    <x v="172"/>
  </r>
  <r>
    <x v="173"/>
    <x v="132"/>
    <s v="Home Office"/>
    <x v="1"/>
    <x v="0"/>
    <x v="5"/>
    <x v="173"/>
    <n v="1"/>
    <n v="0.1"/>
    <x v="173"/>
  </r>
  <r>
    <x v="174"/>
    <x v="112"/>
    <s v="Home Office"/>
    <x v="2"/>
    <x v="2"/>
    <x v="4"/>
    <x v="174"/>
    <n v="10"/>
    <n v="0.05"/>
    <x v="174"/>
  </r>
  <r>
    <x v="175"/>
    <x v="133"/>
    <s v="Corporate"/>
    <x v="2"/>
    <x v="2"/>
    <x v="2"/>
    <x v="175"/>
    <n v="2"/>
    <n v="0.05"/>
    <x v="175"/>
  </r>
  <r>
    <x v="176"/>
    <x v="60"/>
    <s v="Home Office"/>
    <x v="1"/>
    <x v="2"/>
    <x v="6"/>
    <x v="176"/>
    <n v="9"/>
    <n v="0.15"/>
    <x v="176"/>
  </r>
  <r>
    <x v="177"/>
    <x v="134"/>
    <s v="Home Office"/>
    <x v="0"/>
    <x v="1"/>
    <x v="0"/>
    <x v="177"/>
    <n v="1"/>
    <n v="0.15"/>
    <x v="177"/>
  </r>
  <r>
    <x v="178"/>
    <x v="135"/>
    <s v="Corporate"/>
    <x v="3"/>
    <x v="1"/>
    <x v="0"/>
    <x v="178"/>
    <n v="6"/>
    <n v="0.15"/>
    <x v="178"/>
  </r>
  <r>
    <x v="179"/>
    <x v="136"/>
    <s v="Home Office"/>
    <x v="1"/>
    <x v="2"/>
    <x v="4"/>
    <x v="179"/>
    <n v="10"/>
    <n v="0.1"/>
    <x v="179"/>
  </r>
  <r>
    <x v="180"/>
    <x v="20"/>
    <s v="Consumer"/>
    <x v="2"/>
    <x v="0"/>
    <x v="0"/>
    <x v="180"/>
    <n v="7"/>
    <n v="0.05"/>
    <x v="180"/>
  </r>
  <r>
    <x v="181"/>
    <x v="137"/>
    <s v="Home Office"/>
    <x v="2"/>
    <x v="2"/>
    <x v="6"/>
    <x v="181"/>
    <n v="1"/>
    <n v="0.05"/>
    <x v="181"/>
  </r>
  <r>
    <x v="182"/>
    <x v="138"/>
    <s v="Consumer"/>
    <x v="2"/>
    <x v="2"/>
    <x v="2"/>
    <x v="182"/>
    <n v="7"/>
    <n v="0.15"/>
    <x v="182"/>
  </r>
  <r>
    <x v="183"/>
    <x v="139"/>
    <s v="Home Office"/>
    <x v="0"/>
    <x v="0"/>
    <x v="0"/>
    <x v="183"/>
    <n v="1"/>
    <n v="0.05"/>
    <x v="183"/>
  </r>
  <r>
    <x v="184"/>
    <x v="140"/>
    <s v="Home Office"/>
    <x v="1"/>
    <x v="0"/>
    <x v="4"/>
    <x v="184"/>
    <n v="4"/>
    <n v="0.15"/>
    <x v="184"/>
  </r>
  <r>
    <x v="185"/>
    <x v="36"/>
    <s v="Corporate"/>
    <x v="0"/>
    <x v="0"/>
    <x v="0"/>
    <x v="185"/>
    <n v="1"/>
    <n v="0.05"/>
    <x v="185"/>
  </r>
  <r>
    <x v="186"/>
    <x v="141"/>
    <s v="Home Office"/>
    <x v="0"/>
    <x v="0"/>
    <x v="3"/>
    <x v="186"/>
    <n v="4"/>
    <n v="0"/>
    <x v="186"/>
  </r>
  <r>
    <x v="187"/>
    <x v="142"/>
    <s v="Home Office"/>
    <x v="3"/>
    <x v="0"/>
    <x v="4"/>
    <x v="187"/>
    <n v="5"/>
    <n v="0.15"/>
    <x v="187"/>
  </r>
  <r>
    <x v="188"/>
    <x v="108"/>
    <s v="Corporate"/>
    <x v="3"/>
    <x v="0"/>
    <x v="2"/>
    <x v="188"/>
    <n v="7"/>
    <n v="0.15"/>
    <x v="188"/>
  </r>
  <r>
    <x v="189"/>
    <x v="143"/>
    <s v="Home Office"/>
    <x v="1"/>
    <x v="1"/>
    <x v="5"/>
    <x v="189"/>
    <n v="9"/>
    <n v="0.15"/>
    <x v="189"/>
  </r>
  <r>
    <x v="190"/>
    <x v="16"/>
    <s v="Home Office"/>
    <x v="1"/>
    <x v="2"/>
    <x v="2"/>
    <x v="190"/>
    <n v="4"/>
    <n v="0.1"/>
    <x v="190"/>
  </r>
  <r>
    <x v="191"/>
    <x v="144"/>
    <s v="Home Office"/>
    <x v="2"/>
    <x v="0"/>
    <x v="6"/>
    <x v="191"/>
    <n v="4"/>
    <n v="0"/>
    <x v="191"/>
  </r>
  <r>
    <x v="192"/>
    <x v="145"/>
    <s v="Consumer"/>
    <x v="0"/>
    <x v="2"/>
    <x v="3"/>
    <x v="192"/>
    <n v="4"/>
    <n v="0.1"/>
    <x v="192"/>
  </r>
  <r>
    <x v="193"/>
    <x v="138"/>
    <s v="Corporate"/>
    <x v="3"/>
    <x v="2"/>
    <x v="4"/>
    <x v="193"/>
    <n v="10"/>
    <n v="0.1"/>
    <x v="193"/>
  </r>
  <r>
    <x v="194"/>
    <x v="33"/>
    <s v="Home Office"/>
    <x v="0"/>
    <x v="1"/>
    <x v="6"/>
    <x v="194"/>
    <n v="8"/>
    <n v="0.1"/>
    <x v="194"/>
  </r>
  <r>
    <x v="195"/>
    <x v="146"/>
    <s v="Home Office"/>
    <x v="2"/>
    <x v="1"/>
    <x v="3"/>
    <x v="195"/>
    <n v="6"/>
    <n v="0.1"/>
    <x v="195"/>
  </r>
  <r>
    <x v="196"/>
    <x v="147"/>
    <s v="Consumer"/>
    <x v="2"/>
    <x v="2"/>
    <x v="3"/>
    <x v="196"/>
    <n v="10"/>
    <n v="0.1"/>
    <x v="196"/>
  </r>
  <r>
    <x v="197"/>
    <x v="148"/>
    <s v="Corporate"/>
    <x v="1"/>
    <x v="1"/>
    <x v="2"/>
    <x v="197"/>
    <n v="9"/>
    <n v="0"/>
    <x v="197"/>
  </r>
  <r>
    <x v="198"/>
    <x v="114"/>
    <s v="Home Office"/>
    <x v="3"/>
    <x v="0"/>
    <x v="3"/>
    <x v="198"/>
    <n v="2"/>
    <n v="0.15"/>
    <x v="198"/>
  </r>
  <r>
    <x v="199"/>
    <x v="149"/>
    <s v="Consumer"/>
    <x v="3"/>
    <x v="1"/>
    <x v="3"/>
    <x v="199"/>
    <n v="3"/>
    <n v="0.05"/>
    <x v="199"/>
  </r>
  <r>
    <x v="200"/>
    <x v="150"/>
    <s v="Home Office"/>
    <x v="3"/>
    <x v="1"/>
    <x v="3"/>
    <x v="200"/>
    <n v="1"/>
    <n v="0.1"/>
    <x v="200"/>
  </r>
  <r>
    <x v="201"/>
    <x v="80"/>
    <s v="Home Office"/>
    <x v="2"/>
    <x v="2"/>
    <x v="3"/>
    <x v="201"/>
    <n v="7"/>
    <n v="0.05"/>
    <x v="201"/>
  </r>
  <r>
    <x v="202"/>
    <x v="151"/>
    <s v="Home Office"/>
    <x v="1"/>
    <x v="1"/>
    <x v="6"/>
    <x v="202"/>
    <n v="3"/>
    <n v="0.15"/>
    <x v="202"/>
  </r>
  <r>
    <x v="203"/>
    <x v="152"/>
    <s v="Consumer"/>
    <x v="1"/>
    <x v="2"/>
    <x v="3"/>
    <x v="203"/>
    <n v="1"/>
    <n v="0"/>
    <x v="203"/>
  </r>
  <r>
    <x v="204"/>
    <x v="87"/>
    <s v="Corporate"/>
    <x v="0"/>
    <x v="2"/>
    <x v="4"/>
    <x v="204"/>
    <n v="9"/>
    <n v="0.05"/>
    <x v="204"/>
  </r>
  <r>
    <x v="205"/>
    <x v="153"/>
    <s v="Consumer"/>
    <x v="3"/>
    <x v="0"/>
    <x v="4"/>
    <x v="205"/>
    <n v="5"/>
    <n v="0.15"/>
    <x v="205"/>
  </r>
  <r>
    <x v="206"/>
    <x v="154"/>
    <s v="Consumer"/>
    <x v="0"/>
    <x v="1"/>
    <x v="2"/>
    <x v="206"/>
    <n v="10"/>
    <n v="0.15"/>
    <x v="206"/>
  </r>
  <r>
    <x v="207"/>
    <x v="72"/>
    <s v="Home Office"/>
    <x v="1"/>
    <x v="2"/>
    <x v="6"/>
    <x v="207"/>
    <n v="10"/>
    <n v="0.05"/>
    <x v="207"/>
  </r>
  <r>
    <x v="208"/>
    <x v="155"/>
    <s v="Corporate"/>
    <x v="0"/>
    <x v="1"/>
    <x v="5"/>
    <x v="208"/>
    <n v="3"/>
    <n v="0.15"/>
    <x v="208"/>
  </r>
  <r>
    <x v="209"/>
    <x v="87"/>
    <s v="Corporate"/>
    <x v="1"/>
    <x v="2"/>
    <x v="6"/>
    <x v="209"/>
    <n v="3"/>
    <n v="0.05"/>
    <x v="209"/>
  </r>
  <r>
    <x v="210"/>
    <x v="61"/>
    <s v="Consumer"/>
    <x v="3"/>
    <x v="2"/>
    <x v="6"/>
    <x v="210"/>
    <n v="7"/>
    <n v="0"/>
    <x v="210"/>
  </r>
  <r>
    <x v="211"/>
    <x v="156"/>
    <s v="Consumer"/>
    <x v="3"/>
    <x v="2"/>
    <x v="6"/>
    <x v="211"/>
    <n v="1"/>
    <n v="0.1"/>
    <x v="211"/>
  </r>
  <r>
    <x v="212"/>
    <x v="70"/>
    <s v="Consumer"/>
    <x v="1"/>
    <x v="1"/>
    <x v="3"/>
    <x v="212"/>
    <n v="3"/>
    <n v="0"/>
    <x v="212"/>
  </r>
  <r>
    <x v="213"/>
    <x v="157"/>
    <s v="Consumer"/>
    <x v="0"/>
    <x v="2"/>
    <x v="4"/>
    <x v="213"/>
    <n v="8"/>
    <n v="0.15"/>
    <x v="213"/>
  </r>
  <r>
    <x v="214"/>
    <x v="158"/>
    <s v="Consumer"/>
    <x v="0"/>
    <x v="1"/>
    <x v="2"/>
    <x v="214"/>
    <n v="1"/>
    <n v="0"/>
    <x v="214"/>
  </r>
  <r>
    <x v="215"/>
    <x v="159"/>
    <s v="Home Office"/>
    <x v="0"/>
    <x v="1"/>
    <x v="0"/>
    <x v="215"/>
    <n v="5"/>
    <n v="0.1"/>
    <x v="215"/>
  </r>
  <r>
    <x v="216"/>
    <x v="54"/>
    <s v="Home Office"/>
    <x v="2"/>
    <x v="1"/>
    <x v="4"/>
    <x v="216"/>
    <n v="4"/>
    <n v="0.1"/>
    <x v="216"/>
  </r>
  <r>
    <x v="217"/>
    <x v="160"/>
    <s v="Consumer"/>
    <x v="0"/>
    <x v="0"/>
    <x v="4"/>
    <x v="217"/>
    <n v="7"/>
    <n v="0"/>
    <x v="217"/>
  </r>
  <r>
    <x v="218"/>
    <x v="12"/>
    <s v="Consumer"/>
    <x v="3"/>
    <x v="2"/>
    <x v="1"/>
    <x v="218"/>
    <n v="5"/>
    <n v="0.15"/>
    <x v="218"/>
  </r>
  <r>
    <x v="219"/>
    <x v="161"/>
    <s v="Consumer"/>
    <x v="0"/>
    <x v="2"/>
    <x v="1"/>
    <x v="219"/>
    <n v="3"/>
    <n v="0.1"/>
    <x v="219"/>
  </r>
  <r>
    <x v="220"/>
    <x v="148"/>
    <s v="Corporate"/>
    <x v="3"/>
    <x v="0"/>
    <x v="3"/>
    <x v="220"/>
    <n v="9"/>
    <n v="0.15"/>
    <x v="220"/>
  </r>
  <r>
    <x v="221"/>
    <x v="88"/>
    <s v="Corporate"/>
    <x v="1"/>
    <x v="1"/>
    <x v="0"/>
    <x v="221"/>
    <n v="5"/>
    <n v="0.05"/>
    <x v="221"/>
  </r>
  <r>
    <x v="222"/>
    <x v="116"/>
    <s v="Corporate"/>
    <x v="1"/>
    <x v="1"/>
    <x v="2"/>
    <x v="222"/>
    <n v="6"/>
    <n v="0.05"/>
    <x v="222"/>
  </r>
  <r>
    <x v="223"/>
    <x v="162"/>
    <s v="Corporate"/>
    <x v="1"/>
    <x v="2"/>
    <x v="1"/>
    <x v="223"/>
    <n v="1"/>
    <n v="0.15"/>
    <x v="223"/>
  </r>
  <r>
    <x v="224"/>
    <x v="127"/>
    <s v="Corporate"/>
    <x v="1"/>
    <x v="0"/>
    <x v="4"/>
    <x v="224"/>
    <n v="8"/>
    <n v="0.15"/>
    <x v="224"/>
  </r>
  <r>
    <x v="225"/>
    <x v="163"/>
    <s v="Corporate"/>
    <x v="0"/>
    <x v="2"/>
    <x v="1"/>
    <x v="225"/>
    <n v="2"/>
    <n v="0.15"/>
    <x v="225"/>
  </r>
  <r>
    <x v="226"/>
    <x v="164"/>
    <s v="Corporate"/>
    <x v="2"/>
    <x v="0"/>
    <x v="1"/>
    <x v="226"/>
    <n v="1"/>
    <n v="0.1"/>
    <x v="226"/>
  </r>
  <r>
    <x v="227"/>
    <x v="165"/>
    <s v="Corporate"/>
    <x v="1"/>
    <x v="0"/>
    <x v="6"/>
    <x v="227"/>
    <n v="6"/>
    <n v="0.1"/>
    <x v="227"/>
  </r>
  <r>
    <x v="228"/>
    <x v="166"/>
    <s v="Home Office"/>
    <x v="1"/>
    <x v="2"/>
    <x v="0"/>
    <x v="228"/>
    <n v="8"/>
    <n v="0"/>
    <x v="228"/>
  </r>
  <r>
    <x v="229"/>
    <x v="167"/>
    <s v="Corporate"/>
    <x v="3"/>
    <x v="0"/>
    <x v="1"/>
    <x v="229"/>
    <n v="4"/>
    <n v="0.15"/>
    <x v="229"/>
  </r>
  <r>
    <x v="230"/>
    <x v="168"/>
    <s v="Consumer"/>
    <x v="3"/>
    <x v="2"/>
    <x v="5"/>
    <x v="230"/>
    <n v="4"/>
    <n v="0.15"/>
    <x v="230"/>
  </r>
  <r>
    <x v="231"/>
    <x v="169"/>
    <s v="Home Office"/>
    <x v="1"/>
    <x v="1"/>
    <x v="2"/>
    <x v="231"/>
    <n v="10"/>
    <n v="0"/>
    <x v="231"/>
  </r>
  <r>
    <x v="232"/>
    <x v="1"/>
    <s v="Home Office"/>
    <x v="2"/>
    <x v="0"/>
    <x v="3"/>
    <x v="232"/>
    <n v="8"/>
    <n v="0.05"/>
    <x v="232"/>
  </r>
  <r>
    <x v="233"/>
    <x v="170"/>
    <s v="Home Office"/>
    <x v="3"/>
    <x v="0"/>
    <x v="4"/>
    <x v="233"/>
    <n v="2"/>
    <n v="0.1"/>
    <x v="233"/>
  </r>
  <r>
    <x v="234"/>
    <x v="83"/>
    <s v="Consumer"/>
    <x v="0"/>
    <x v="1"/>
    <x v="1"/>
    <x v="234"/>
    <n v="6"/>
    <n v="0.1"/>
    <x v="234"/>
  </r>
  <r>
    <x v="235"/>
    <x v="7"/>
    <s v="Corporate"/>
    <x v="2"/>
    <x v="2"/>
    <x v="4"/>
    <x v="235"/>
    <n v="9"/>
    <n v="0.15"/>
    <x v="235"/>
  </r>
  <r>
    <x v="236"/>
    <x v="25"/>
    <s v="Home Office"/>
    <x v="1"/>
    <x v="1"/>
    <x v="0"/>
    <x v="236"/>
    <n v="7"/>
    <n v="0.1"/>
    <x v="236"/>
  </r>
  <r>
    <x v="237"/>
    <x v="32"/>
    <s v="Consumer"/>
    <x v="3"/>
    <x v="2"/>
    <x v="3"/>
    <x v="237"/>
    <n v="3"/>
    <n v="0.15"/>
    <x v="237"/>
  </r>
  <r>
    <x v="238"/>
    <x v="171"/>
    <s v="Consumer"/>
    <x v="1"/>
    <x v="2"/>
    <x v="3"/>
    <x v="238"/>
    <n v="10"/>
    <n v="0.15"/>
    <x v="238"/>
  </r>
  <r>
    <x v="239"/>
    <x v="172"/>
    <s v="Home Office"/>
    <x v="2"/>
    <x v="0"/>
    <x v="6"/>
    <x v="239"/>
    <n v="5"/>
    <n v="0.05"/>
    <x v="239"/>
  </r>
  <r>
    <x v="240"/>
    <x v="173"/>
    <s v="Home Office"/>
    <x v="1"/>
    <x v="2"/>
    <x v="0"/>
    <x v="240"/>
    <n v="1"/>
    <n v="0.05"/>
    <x v="240"/>
  </r>
  <r>
    <x v="241"/>
    <x v="26"/>
    <s v="Home Office"/>
    <x v="1"/>
    <x v="2"/>
    <x v="2"/>
    <x v="241"/>
    <n v="8"/>
    <n v="0.05"/>
    <x v="241"/>
  </r>
  <r>
    <x v="242"/>
    <x v="153"/>
    <s v="Home Office"/>
    <x v="0"/>
    <x v="2"/>
    <x v="0"/>
    <x v="242"/>
    <n v="1"/>
    <n v="0.05"/>
    <x v="242"/>
  </r>
  <r>
    <x v="243"/>
    <x v="174"/>
    <s v="Corporate"/>
    <x v="0"/>
    <x v="0"/>
    <x v="6"/>
    <x v="243"/>
    <n v="2"/>
    <n v="0.15"/>
    <x v="243"/>
  </r>
  <r>
    <x v="244"/>
    <x v="93"/>
    <s v="Home Office"/>
    <x v="0"/>
    <x v="1"/>
    <x v="4"/>
    <x v="244"/>
    <n v="10"/>
    <n v="0.15"/>
    <x v="244"/>
  </r>
  <r>
    <x v="245"/>
    <x v="175"/>
    <s v="Consumer"/>
    <x v="3"/>
    <x v="0"/>
    <x v="2"/>
    <x v="245"/>
    <n v="9"/>
    <n v="0.05"/>
    <x v="245"/>
  </r>
  <r>
    <x v="246"/>
    <x v="111"/>
    <s v="Consumer"/>
    <x v="2"/>
    <x v="2"/>
    <x v="3"/>
    <x v="246"/>
    <n v="8"/>
    <n v="0.05"/>
    <x v="246"/>
  </r>
  <r>
    <x v="247"/>
    <x v="176"/>
    <s v="Home Office"/>
    <x v="0"/>
    <x v="2"/>
    <x v="4"/>
    <x v="247"/>
    <n v="10"/>
    <n v="0.05"/>
    <x v="247"/>
  </r>
  <r>
    <x v="248"/>
    <x v="177"/>
    <s v="Corporate"/>
    <x v="2"/>
    <x v="2"/>
    <x v="4"/>
    <x v="248"/>
    <n v="4"/>
    <n v="0.05"/>
    <x v="248"/>
  </r>
  <r>
    <x v="249"/>
    <x v="178"/>
    <s v="Consumer"/>
    <x v="0"/>
    <x v="1"/>
    <x v="0"/>
    <x v="249"/>
    <n v="4"/>
    <n v="0.05"/>
    <x v="249"/>
  </r>
  <r>
    <x v="250"/>
    <x v="179"/>
    <s v="Consumer"/>
    <x v="1"/>
    <x v="0"/>
    <x v="5"/>
    <x v="250"/>
    <n v="6"/>
    <n v="0"/>
    <x v="250"/>
  </r>
  <r>
    <x v="251"/>
    <x v="180"/>
    <s v="Consumer"/>
    <x v="3"/>
    <x v="2"/>
    <x v="2"/>
    <x v="251"/>
    <n v="5"/>
    <n v="0.1"/>
    <x v="251"/>
  </r>
  <r>
    <x v="252"/>
    <x v="181"/>
    <s v="Consumer"/>
    <x v="0"/>
    <x v="2"/>
    <x v="4"/>
    <x v="252"/>
    <n v="4"/>
    <n v="0.15"/>
    <x v="252"/>
  </r>
  <r>
    <x v="253"/>
    <x v="86"/>
    <s v="Corporate"/>
    <x v="3"/>
    <x v="0"/>
    <x v="6"/>
    <x v="253"/>
    <n v="3"/>
    <n v="0"/>
    <x v="253"/>
  </r>
  <r>
    <x v="254"/>
    <x v="16"/>
    <s v="Home Office"/>
    <x v="2"/>
    <x v="2"/>
    <x v="2"/>
    <x v="254"/>
    <n v="10"/>
    <n v="0.1"/>
    <x v="254"/>
  </r>
  <r>
    <x v="255"/>
    <x v="143"/>
    <s v="Home Office"/>
    <x v="2"/>
    <x v="2"/>
    <x v="4"/>
    <x v="255"/>
    <n v="5"/>
    <n v="0"/>
    <x v="255"/>
  </r>
  <r>
    <x v="256"/>
    <x v="74"/>
    <s v="Home Office"/>
    <x v="0"/>
    <x v="2"/>
    <x v="3"/>
    <x v="256"/>
    <n v="1"/>
    <n v="0.05"/>
    <x v="256"/>
  </r>
  <r>
    <x v="257"/>
    <x v="178"/>
    <s v="Home Office"/>
    <x v="3"/>
    <x v="1"/>
    <x v="1"/>
    <x v="257"/>
    <n v="1"/>
    <n v="0.05"/>
    <x v="257"/>
  </r>
  <r>
    <x v="258"/>
    <x v="182"/>
    <s v="Consumer"/>
    <x v="0"/>
    <x v="2"/>
    <x v="0"/>
    <x v="258"/>
    <n v="2"/>
    <n v="0.15"/>
    <x v="258"/>
  </r>
  <r>
    <x v="259"/>
    <x v="2"/>
    <s v="Corporate"/>
    <x v="3"/>
    <x v="1"/>
    <x v="0"/>
    <x v="259"/>
    <n v="6"/>
    <n v="0.1"/>
    <x v="259"/>
  </r>
  <r>
    <x v="260"/>
    <x v="183"/>
    <s v="Consumer"/>
    <x v="3"/>
    <x v="1"/>
    <x v="2"/>
    <x v="260"/>
    <n v="5"/>
    <n v="0.15"/>
    <x v="260"/>
  </r>
  <r>
    <x v="261"/>
    <x v="34"/>
    <s v="Corporate"/>
    <x v="2"/>
    <x v="1"/>
    <x v="3"/>
    <x v="261"/>
    <n v="2"/>
    <n v="0.15"/>
    <x v="261"/>
  </r>
  <r>
    <x v="262"/>
    <x v="184"/>
    <s v="Consumer"/>
    <x v="1"/>
    <x v="1"/>
    <x v="2"/>
    <x v="262"/>
    <n v="9"/>
    <n v="0.15"/>
    <x v="262"/>
  </r>
  <r>
    <x v="263"/>
    <x v="172"/>
    <s v="Home Office"/>
    <x v="1"/>
    <x v="0"/>
    <x v="5"/>
    <x v="263"/>
    <n v="1"/>
    <n v="0.05"/>
    <x v="263"/>
  </r>
  <r>
    <x v="264"/>
    <x v="185"/>
    <s v="Corporate"/>
    <x v="0"/>
    <x v="0"/>
    <x v="3"/>
    <x v="264"/>
    <n v="5"/>
    <n v="0.05"/>
    <x v="264"/>
  </r>
  <r>
    <x v="265"/>
    <x v="62"/>
    <s v="Consumer"/>
    <x v="3"/>
    <x v="0"/>
    <x v="5"/>
    <x v="265"/>
    <n v="2"/>
    <n v="0.05"/>
    <x v="265"/>
  </r>
  <r>
    <x v="266"/>
    <x v="186"/>
    <s v="Consumer"/>
    <x v="0"/>
    <x v="2"/>
    <x v="4"/>
    <x v="266"/>
    <n v="7"/>
    <n v="0.1"/>
    <x v="266"/>
  </r>
  <r>
    <x v="267"/>
    <x v="170"/>
    <s v="Home Office"/>
    <x v="0"/>
    <x v="2"/>
    <x v="5"/>
    <x v="267"/>
    <n v="7"/>
    <n v="0.15"/>
    <x v="267"/>
  </r>
  <r>
    <x v="268"/>
    <x v="187"/>
    <s v="Corporate"/>
    <x v="0"/>
    <x v="0"/>
    <x v="2"/>
    <x v="268"/>
    <n v="9"/>
    <n v="0.05"/>
    <x v="268"/>
  </r>
  <r>
    <x v="269"/>
    <x v="108"/>
    <s v="Consumer"/>
    <x v="1"/>
    <x v="0"/>
    <x v="4"/>
    <x v="269"/>
    <n v="2"/>
    <n v="0"/>
    <x v="269"/>
  </r>
  <r>
    <x v="270"/>
    <x v="188"/>
    <s v="Consumer"/>
    <x v="3"/>
    <x v="0"/>
    <x v="1"/>
    <x v="270"/>
    <n v="4"/>
    <n v="0"/>
    <x v="270"/>
  </r>
  <r>
    <x v="271"/>
    <x v="23"/>
    <s v="Corporate"/>
    <x v="3"/>
    <x v="0"/>
    <x v="2"/>
    <x v="271"/>
    <n v="3"/>
    <n v="0.05"/>
    <x v="271"/>
  </r>
  <r>
    <x v="272"/>
    <x v="189"/>
    <s v="Home Office"/>
    <x v="0"/>
    <x v="2"/>
    <x v="4"/>
    <x v="272"/>
    <n v="2"/>
    <n v="0"/>
    <x v="272"/>
  </r>
  <r>
    <x v="273"/>
    <x v="111"/>
    <s v="Consumer"/>
    <x v="0"/>
    <x v="0"/>
    <x v="3"/>
    <x v="273"/>
    <n v="5"/>
    <n v="0.15"/>
    <x v="273"/>
  </r>
  <r>
    <x v="274"/>
    <x v="11"/>
    <s v="Consumer"/>
    <x v="3"/>
    <x v="0"/>
    <x v="4"/>
    <x v="274"/>
    <n v="10"/>
    <n v="0.05"/>
    <x v="274"/>
  </r>
  <r>
    <x v="275"/>
    <x v="164"/>
    <s v="Corporate"/>
    <x v="1"/>
    <x v="2"/>
    <x v="0"/>
    <x v="275"/>
    <n v="1"/>
    <n v="0"/>
    <x v="275"/>
  </r>
  <r>
    <x v="276"/>
    <x v="48"/>
    <s v="Corporate"/>
    <x v="1"/>
    <x v="2"/>
    <x v="3"/>
    <x v="276"/>
    <n v="2"/>
    <n v="0.05"/>
    <x v="276"/>
  </r>
  <r>
    <x v="277"/>
    <x v="190"/>
    <s v="Home Office"/>
    <x v="1"/>
    <x v="2"/>
    <x v="2"/>
    <x v="277"/>
    <n v="4"/>
    <n v="0.05"/>
    <x v="277"/>
  </r>
  <r>
    <x v="278"/>
    <x v="169"/>
    <s v="Corporate"/>
    <x v="3"/>
    <x v="2"/>
    <x v="3"/>
    <x v="278"/>
    <n v="7"/>
    <n v="0.05"/>
    <x v="278"/>
  </r>
  <r>
    <x v="279"/>
    <x v="191"/>
    <s v="Consumer"/>
    <x v="1"/>
    <x v="2"/>
    <x v="3"/>
    <x v="279"/>
    <n v="7"/>
    <n v="0"/>
    <x v="279"/>
  </r>
  <r>
    <x v="280"/>
    <x v="40"/>
    <s v="Home Office"/>
    <x v="2"/>
    <x v="0"/>
    <x v="1"/>
    <x v="280"/>
    <n v="7"/>
    <n v="0"/>
    <x v="280"/>
  </r>
  <r>
    <x v="281"/>
    <x v="146"/>
    <s v="Corporate"/>
    <x v="3"/>
    <x v="0"/>
    <x v="1"/>
    <x v="281"/>
    <n v="3"/>
    <n v="0.1"/>
    <x v="281"/>
  </r>
  <r>
    <x v="282"/>
    <x v="92"/>
    <s v="Consumer"/>
    <x v="1"/>
    <x v="0"/>
    <x v="1"/>
    <x v="282"/>
    <n v="2"/>
    <n v="0"/>
    <x v="282"/>
  </r>
  <r>
    <x v="283"/>
    <x v="192"/>
    <s v="Home Office"/>
    <x v="2"/>
    <x v="1"/>
    <x v="6"/>
    <x v="283"/>
    <n v="7"/>
    <n v="0"/>
    <x v="283"/>
  </r>
  <r>
    <x v="284"/>
    <x v="193"/>
    <s v="Corporate"/>
    <x v="0"/>
    <x v="1"/>
    <x v="6"/>
    <x v="284"/>
    <n v="7"/>
    <n v="0"/>
    <x v="284"/>
  </r>
  <r>
    <x v="285"/>
    <x v="125"/>
    <s v="Corporate"/>
    <x v="3"/>
    <x v="2"/>
    <x v="6"/>
    <x v="285"/>
    <n v="1"/>
    <n v="0"/>
    <x v="285"/>
  </r>
  <r>
    <x v="286"/>
    <x v="177"/>
    <s v="Consumer"/>
    <x v="2"/>
    <x v="2"/>
    <x v="1"/>
    <x v="286"/>
    <n v="4"/>
    <n v="0"/>
    <x v="286"/>
  </r>
  <r>
    <x v="287"/>
    <x v="194"/>
    <s v="Home Office"/>
    <x v="0"/>
    <x v="1"/>
    <x v="5"/>
    <x v="287"/>
    <n v="10"/>
    <n v="0.05"/>
    <x v="287"/>
  </r>
  <r>
    <x v="288"/>
    <x v="65"/>
    <s v="Home Office"/>
    <x v="3"/>
    <x v="0"/>
    <x v="3"/>
    <x v="288"/>
    <n v="7"/>
    <n v="0.05"/>
    <x v="288"/>
  </r>
  <r>
    <x v="289"/>
    <x v="15"/>
    <s v="Consumer"/>
    <x v="0"/>
    <x v="2"/>
    <x v="3"/>
    <x v="289"/>
    <n v="2"/>
    <n v="0.05"/>
    <x v="289"/>
  </r>
  <r>
    <x v="290"/>
    <x v="135"/>
    <s v="Home Office"/>
    <x v="0"/>
    <x v="1"/>
    <x v="0"/>
    <x v="290"/>
    <n v="5"/>
    <n v="0"/>
    <x v="290"/>
  </r>
  <r>
    <x v="291"/>
    <x v="167"/>
    <s v="Home Office"/>
    <x v="0"/>
    <x v="1"/>
    <x v="4"/>
    <x v="291"/>
    <n v="3"/>
    <n v="0"/>
    <x v="291"/>
  </r>
  <r>
    <x v="292"/>
    <x v="176"/>
    <s v="Consumer"/>
    <x v="1"/>
    <x v="2"/>
    <x v="2"/>
    <x v="292"/>
    <n v="2"/>
    <n v="0"/>
    <x v="292"/>
  </r>
  <r>
    <x v="293"/>
    <x v="56"/>
    <s v="Home Office"/>
    <x v="3"/>
    <x v="0"/>
    <x v="5"/>
    <x v="293"/>
    <n v="10"/>
    <n v="0.05"/>
    <x v="293"/>
  </r>
  <r>
    <x v="294"/>
    <x v="104"/>
    <s v="Corporate"/>
    <x v="1"/>
    <x v="1"/>
    <x v="2"/>
    <x v="294"/>
    <n v="3"/>
    <n v="0"/>
    <x v="294"/>
  </r>
  <r>
    <x v="295"/>
    <x v="195"/>
    <s v="Consumer"/>
    <x v="2"/>
    <x v="2"/>
    <x v="5"/>
    <x v="295"/>
    <n v="10"/>
    <n v="0.1"/>
    <x v="295"/>
  </r>
  <r>
    <x v="296"/>
    <x v="54"/>
    <s v="Home Office"/>
    <x v="2"/>
    <x v="1"/>
    <x v="5"/>
    <x v="296"/>
    <n v="6"/>
    <n v="0.05"/>
    <x v="296"/>
  </r>
  <r>
    <x v="297"/>
    <x v="174"/>
    <s v="Home Office"/>
    <x v="2"/>
    <x v="2"/>
    <x v="1"/>
    <x v="297"/>
    <n v="9"/>
    <n v="0"/>
    <x v="297"/>
  </r>
  <r>
    <x v="298"/>
    <x v="151"/>
    <s v="Corporate"/>
    <x v="1"/>
    <x v="0"/>
    <x v="2"/>
    <x v="298"/>
    <n v="6"/>
    <n v="0.05"/>
    <x v="298"/>
  </r>
  <r>
    <x v="299"/>
    <x v="196"/>
    <s v="Consumer"/>
    <x v="0"/>
    <x v="2"/>
    <x v="4"/>
    <x v="299"/>
    <n v="5"/>
    <n v="0.1"/>
    <x v="299"/>
  </r>
  <r>
    <x v="300"/>
    <x v="21"/>
    <s v="Home Office"/>
    <x v="1"/>
    <x v="1"/>
    <x v="5"/>
    <x v="300"/>
    <n v="7"/>
    <n v="0.05"/>
    <x v="300"/>
  </r>
  <r>
    <x v="301"/>
    <x v="197"/>
    <s v="Home Office"/>
    <x v="0"/>
    <x v="1"/>
    <x v="1"/>
    <x v="301"/>
    <n v="1"/>
    <n v="0.1"/>
    <x v="301"/>
  </r>
  <r>
    <x v="302"/>
    <x v="103"/>
    <s v="Corporate"/>
    <x v="0"/>
    <x v="0"/>
    <x v="0"/>
    <x v="302"/>
    <n v="6"/>
    <n v="0"/>
    <x v="302"/>
  </r>
  <r>
    <x v="303"/>
    <x v="79"/>
    <s v="Consumer"/>
    <x v="3"/>
    <x v="0"/>
    <x v="3"/>
    <x v="303"/>
    <n v="4"/>
    <n v="0.15"/>
    <x v="303"/>
  </r>
  <r>
    <x v="304"/>
    <x v="198"/>
    <s v="Home Office"/>
    <x v="3"/>
    <x v="1"/>
    <x v="1"/>
    <x v="304"/>
    <n v="1"/>
    <n v="0.15"/>
    <x v="304"/>
  </r>
  <r>
    <x v="305"/>
    <x v="195"/>
    <s v="Home Office"/>
    <x v="1"/>
    <x v="0"/>
    <x v="5"/>
    <x v="305"/>
    <n v="9"/>
    <n v="0.05"/>
    <x v="305"/>
  </r>
  <r>
    <x v="306"/>
    <x v="184"/>
    <s v="Home Office"/>
    <x v="1"/>
    <x v="0"/>
    <x v="2"/>
    <x v="306"/>
    <n v="2"/>
    <n v="0.15"/>
    <x v="306"/>
  </r>
  <r>
    <x v="307"/>
    <x v="199"/>
    <s v="Home Office"/>
    <x v="0"/>
    <x v="1"/>
    <x v="4"/>
    <x v="307"/>
    <n v="10"/>
    <n v="0"/>
    <x v="307"/>
  </r>
  <r>
    <x v="308"/>
    <x v="57"/>
    <s v="Corporate"/>
    <x v="0"/>
    <x v="1"/>
    <x v="5"/>
    <x v="308"/>
    <n v="7"/>
    <n v="0.05"/>
    <x v="308"/>
  </r>
  <r>
    <x v="309"/>
    <x v="200"/>
    <s v="Consumer"/>
    <x v="2"/>
    <x v="0"/>
    <x v="1"/>
    <x v="309"/>
    <n v="9"/>
    <n v="0"/>
    <x v="309"/>
  </r>
  <r>
    <x v="310"/>
    <x v="201"/>
    <s v="Corporate"/>
    <x v="0"/>
    <x v="1"/>
    <x v="2"/>
    <x v="310"/>
    <n v="6"/>
    <n v="0"/>
    <x v="310"/>
  </r>
  <r>
    <x v="311"/>
    <x v="84"/>
    <s v="Consumer"/>
    <x v="1"/>
    <x v="0"/>
    <x v="2"/>
    <x v="311"/>
    <n v="2"/>
    <n v="0.15"/>
    <x v="311"/>
  </r>
  <r>
    <x v="312"/>
    <x v="202"/>
    <s v="Home Office"/>
    <x v="2"/>
    <x v="1"/>
    <x v="1"/>
    <x v="312"/>
    <n v="2"/>
    <n v="0.1"/>
    <x v="312"/>
  </r>
  <r>
    <x v="313"/>
    <x v="203"/>
    <s v="Home Office"/>
    <x v="2"/>
    <x v="0"/>
    <x v="2"/>
    <x v="313"/>
    <n v="10"/>
    <n v="0.1"/>
    <x v="313"/>
  </r>
  <r>
    <x v="314"/>
    <x v="204"/>
    <s v="Home Office"/>
    <x v="1"/>
    <x v="0"/>
    <x v="5"/>
    <x v="314"/>
    <n v="2"/>
    <n v="0.1"/>
    <x v="314"/>
  </r>
  <r>
    <x v="315"/>
    <x v="120"/>
    <s v="Corporate"/>
    <x v="3"/>
    <x v="0"/>
    <x v="2"/>
    <x v="315"/>
    <n v="7"/>
    <n v="0.15"/>
    <x v="315"/>
  </r>
  <r>
    <x v="316"/>
    <x v="70"/>
    <s v="Home Office"/>
    <x v="2"/>
    <x v="1"/>
    <x v="0"/>
    <x v="316"/>
    <n v="3"/>
    <n v="0.1"/>
    <x v="316"/>
  </r>
  <r>
    <x v="317"/>
    <x v="205"/>
    <s v="Consumer"/>
    <x v="2"/>
    <x v="2"/>
    <x v="1"/>
    <x v="317"/>
    <n v="2"/>
    <n v="0.05"/>
    <x v="317"/>
  </r>
  <r>
    <x v="318"/>
    <x v="8"/>
    <s v="Corporate"/>
    <x v="0"/>
    <x v="1"/>
    <x v="5"/>
    <x v="318"/>
    <n v="5"/>
    <n v="0"/>
    <x v="318"/>
  </r>
  <r>
    <x v="319"/>
    <x v="206"/>
    <s v="Consumer"/>
    <x v="0"/>
    <x v="0"/>
    <x v="0"/>
    <x v="319"/>
    <n v="5"/>
    <n v="0"/>
    <x v="319"/>
  </r>
  <r>
    <x v="320"/>
    <x v="129"/>
    <s v="Corporate"/>
    <x v="1"/>
    <x v="2"/>
    <x v="4"/>
    <x v="320"/>
    <n v="4"/>
    <n v="0.05"/>
    <x v="320"/>
  </r>
  <r>
    <x v="321"/>
    <x v="207"/>
    <s v="Corporate"/>
    <x v="0"/>
    <x v="2"/>
    <x v="6"/>
    <x v="321"/>
    <n v="6"/>
    <n v="0"/>
    <x v="321"/>
  </r>
  <r>
    <x v="322"/>
    <x v="109"/>
    <s v="Consumer"/>
    <x v="0"/>
    <x v="0"/>
    <x v="3"/>
    <x v="322"/>
    <n v="9"/>
    <n v="0"/>
    <x v="322"/>
  </r>
  <r>
    <x v="323"/>
    <x v="208"/>
    <s v="Consumer"/>
    <x v="3"/>
    <x v="1"/>
    <x v="5"/>
    <x v="323"/>
    <n v="10"/>
    <n v="0.1"/>
    <x v="323"/>
  </r>
  <r>
    <x v="324"/>
    <x v="209"/>
    <s v="Home Office"/>
    <x v="0"/>
    <x v="2"/>
    <x v="6"/>
    <x v="324"/>
    <n v="2"/>
    <n v="0.15"/>
    <x v="324"/>
  </r>
  <r>
    <x v="325"/>
    <x v="112"/>
    <s v="Home Office"/>
    <x v="0"/>
    <x v="1"/>
    <x v="5"/>
    <x v="325"/>
    <n v="9"/>
    <n v="0.15"/>
    <x v="325"/>
  </r>
  <r>
    <x v="326"/>
    <x v="49"/>
    <s v="Corporate"/>
    <x v="0"/>
    <x v="2"/>
    <x v="3"/>
    <x v="326"/>
    <n v="5"/>
    <n v="0.05"/>
    <x v="326"/>
  </r>
  <r>
    <x v="327"/>
    <x v="68"/>
    <s v="Corporate"/>
    <x v="3"/>
    <x v="2"/>
    <x v="4"/>
    <x v="327"/>
    <n v="5"/>
    <n v="0.05"/>
    <x v="327"/>
  </r>
  <r>
    <x v="328"/>
    <x v="6"/>
    <s v="Consumer"/>
    <x v="1"/>
    <x v="0"/>
    <x v="3"/>
    <x v="328"/>
    <n v="9"/>
    <n v="0.1"/>
    <x v="328"/>
  </r>
  <r>
    <x v="329"/>
    <x v="151"/>
    <s v="Home Office"/>
    <x v="3"/>
    <x v="1"/>
    <x v="1"/>
    <x v="329"/>
    <n v="6"/>
    <n v="0"/>
    <x v="329"/>
  </r>
  <r>
    <x v="330"/>
    <x v="210"/>
    <s v="Corporate"/>
    <x v="3"/>
    <x v="0"/>
    <x v="1"/>
    <x v="330"/>
    <n v="5"/>
    <n v="0.05"/>
    <x v="330"/>
  </r>
  <r>
    <x v="331"/>
    <x v="206"/>
    <s v="Home Office"/>
    <x v="3"/>
    <x v="0"/>
    <x v="4"/>
    <x v="331"/>
    <n v="1"/>
    <n v="0.15"/>
    <x v="331"/>
  </r>
  <r>
    <x v="332"/>
    <x v="199"/>
    <s v="Consumer"/>
    <x v="1"/>
    <x v="1"/>
    <x v="2"/>
    <x v="332"/>
    <n v="10"/>
    <n v="0.15"/>
    <x v="332"/>
  </r>
  <r>
    <x v="333"/>
    <x v="211"/>
    <s v="Home Office"/>
    <x v="1"/>
    <x v="2"/>
    <x v="5"/>
    <x v="333"/>
    <n v="2"/>
    <n v="0.15"/>
    <x v="333"/>
  </r>
  <r>
    <x v="334"/>
    <x v="52"/>
    <s v="Home Office"/>
    <x v="2"/>
    <x v="1"/>
    <x v="1"/>
    <x v="334"/>
    <n v="5"/>
    <n v="0.15"/>
    <x v="334"/>
  </r>
  <r>
    <x v="335"/>
    <x v="212"/>
    <s v="Corporate"/>
    <x v="0"/>
    <x v="2"/>
    <x v="1"/>
    <x v="335"/>
    <n v="3"/>
    <n v="0.05"/>
    <x v="335"/>
  </r>
  <r>
    <x v="336"/>
    <x v="86"/>
    <s v="Consumer"/>
    <x v="2"/>
    <x v="2"/>
    <x v="4"/>
    <x v="336"/>
    <n v="8"/>
    <n v="0.15"/>
    <x v="336"/>
  </r>
  <r>
    <x v="337"/>
    <x v="178"/>
    <s v="Home Office"/>
    <x v="3"/>
    <x v="0"/>
    <x v="2"/>
    <x v="337"/>
    <n v="4"/>
    <n v="0"/>
    <x v="337"/>
  </r>
  <r>
    <x v="338"/>
    <x v="213"/>
    <s v="Consumer"/>
    <x v="0"/>
    <x v="1"/>
    <x v="1"/>
    <x v="338"/>
    <n v="5"/>
    <n v="0.1"/>
    <x v="338"/>
  </r>
  <r>
    <x v="339"/>
    <x v="75"/>
    <s v="Consumer"/>
    <x v="3"/>
    <x v="1"/>
    <x v="6"/>
    <x v="339"/>
    <n v="10"/>
    <n v="0"/>
    <x v="339"/>
  </r>
  <r>
    <x v="340"/>
    <x v="34"/>
    <s v="Home Office"/>
    <x v="0"/>
    <x v="1"/>
    <x v="4"/>
    <x v="340"/>
    <n v="7"/>
    <n v="0.05"/>
    <x v="340"/>
  </r>
  <r>
    <x v="341"/>
    <x v="150"/>
    <s v="Home Office"/>
    <x v="2"/>
    <x v="1"/>
    <x v="4"/>
    <x v="341"/>
    <n v="10"/>
    <n v="0"/>
    <x v="341"/>
  </r>
  <r>
    <x v="342"/>
    <x v="214"/>
    <s v="Corporate"/>
    <x v="3"/>
    <x v="2"/>
    <x v="1"/>
    <x v="342"/>
    <n v="7"/>
    <n v="0.05"/>
    <x v="342"/>
  </r>
  <r>
    <x v="343"/>
    <x v="215"/>
    <s v="Corporate"/>
    <x v="0"/>
    <x v="2"/>
    <x v="3"/>
    <x v="343"/>
    <n v="4"/>
    <n v="0.05"/>
    <x v="343"/>
  </r>
  <r>
    <x v="344"/>
    <x v="46"/>
    <s v="Corporate"/>
    <x v="2"/>
    <x v="1"/>
    <x v="5"/>
    <x v="344"/>
    <n v="2"/>
    <n v="0"/>
    <x v="344"/>
  </r>
  <r>
    <x v="345"/>
    <x v="216"/>
    <s v="Home Office"/>
    <x v="0"/>
    <x v="1"/>
    <x v="3"/>
    <x v="139"/>
    <n v="8"/>
    <n v="0.1"/>
    <x v="345"/>
  </r>
  <r>
    <x v="346"/>
    <x v="51"/>
    <s v="Home Office"/>
    <x v="3"/>
    <x v="0"/>
    <x v="5"/>
    <x v="345"/>
    <n v="2"/>
    <n v="0.05"/>
    <x v="346"/>
  </r>
  <r>
    <x v="347"/>
    <x v="217"/>
    <s v="Home Office"/>
    <x v="0"/>
    <x v="2"/>
    <x v="4"/>
    <x v="346"/>
    <n v="2"/>
    <n v="0.1"/>
    <x v="347"/>
  </r>
  <r>
    <x v="348"/>
    <x v="153"/>
    <s v="Home Office"/>
    <x v="0"/>
    <x v="1"/>
    <x v="6"/>
    <x v="347"/>
    <n v="4"/>
    <n v="0.05"/>
    <x v="348"/>
  </r>
  <r>
    <x v="349"/>
    <x v="197"/>
    <s v="Corporate"/>
    <x v="1"/>
    <x v="1"/>
    <x v="4"/>
    <x v="348"/>
    <n v="1"/>
    <n v="0.1"/>
    <x v="349"/>
  </r>
  <r>
    <x v="350"/>
    <x v="218"/>
    <s v="Consumer"/>
    <x v="3"/>
    <x v="0"/>
    <x v="0"/>
    <x v="349"/>
    <n v="5"/>
    <n v="0.1"/>
    <x v="350"/>
  </r>
  <r>
    <x v="351"/>
    <x v="70"/>
    <s v="Home Office"/>
    <x v="2"/>
    <x v="0"/>
    <x v="5"/>
    <x v="350"/>
    <n v="10"/>
    <n v="0.15"/>
    <x v="351"/>
  </r>
  <r>
    <x v="352"/>
    <x v="119"/>
    <s v="Corporate"/>
    <x v="0"/>
    <x v="2"/>
    <x v="4"/>
    <x v="351"/>
    <n v="5"/>
    <n v="0.1"/>
    <x v="352"/>
  </r>
  <r>
    <x v="353"/>
    <x v="206"/>
    <s v="Home Office"/>
    <x v="2"/>
    <x v="1"/>
    <x v="2"/>
    <x v="352"/>
    <n v="2"/>
    <n v="0.05"/>
    <x v="353"/>
  </r>
  <r>
    <x v="354"/>
    <x v="219"/>
    <s v="Home Office"/>
    <x v="3"/>
    <x v="2"/>
    <x v="1"/>
    <x v="353"/>
    <n v="3"/>
    <n v="0.1"/>
    <x v="354"/>
  </r>
  <r>
    <x v="355"/>
    <x v="137"/>
    <s v="Corporate"/>
    <x v="0"/>
    <x v="0"/>
    <x v="3"/>
    <x v="354"/>
    <n v="2"/>
    <n v="0.1"/>
    <x v="355"/>
  </r>
  <r>
    <x v="356"/>
    <x v="151"/>
    <s v="Consumer"/>
    <x v="3"/>
    <x v="1"/>
    <x v="6"/>
    <x v="355"/>
    <n v="5"/>
    <n v="0.1"/>
    <x v="356"/>
  </r>
  <r>
    <x v="357"/>
    <x v="220"/>
    <s v="Consumer"/>
    <x v="3"/>
    <x v="2"/>
    <x v="4"/>
    <x v="356"/>
    <n v="6"/>
    <n v="0.15"/>
    <x v="357"/>
  </r>
  <r>
    <x v="358"/>
    <x v="134"/>
    <s v="Consumer"/>
    <x v="0"/>
    <x v="2"/>
    <x v="3"/>
    <x v="357"/>
    <n v="9"/>
    <n v="0.1"/>
    <x v="358"/>
  </r>
  <r>
    <x v="359"/>
    <x v="156"/>
    <s v="Corporate"/>
    <x v="2"/>
    <x v="2"/>
    <x v="1"/>
    <x v="358"/>
    <n v="10"/>
    <n v="0.1"/>
    <x v="359"/>
  </r>
  <r>
    <x v="360"/>
    <x v="99"/>
    <s v="Corporate"/>
    <x v="1"/>
    <x v="2"/>
    <x v="5"/>
    <x v="359"/>
    <n v="10"/>
    <n v="0.1"/>
    <x v="360"/>
  </r>
  <r>
    <x v="361"/>
    <x v="31"/>
    <s v="Consumer"/>
    <x v="0"/>
    <x v="0"/>
    <x v="0"/>
    <x v="360"/>
    <n v="8"/>
    <n v="0.1"/>
    <x v="361"/>
  </r>
  <r>
    <x v="362"/>
    <x v="12"/>
    <s v="Consumer"/>
    <x v="0"/>
    <x v="0"/>
    <x v="0"/>
    <x v="361"/>
    <n v="8"/>
    <n v="0.05"/>
    <x v="362"/>
  </r>
  <r>
    <x v="363"/>
    <x v="221"/>
    <s v="Home Office"/>
    <x v="2"/>
    <x v="1"/>
    <x v="1"/>
    <x v="362"/>
    <n v="8"/>
    <n v="0"/>
    <x v="363"/>
  </r>
  <r>
    <x v="364"/>
    <x v="222"/>
    <s v="Consumer"/>
    <x v="2"/>
    <x v="2"/>
    <x v="2"/>
    <x v="363"/>
    <n v="4"/>
    <n v="0.1"/>
    <x v="364"/>
  </r>
  <r>
    <x v="365"/>
    <x v="22"/>
    <s v="Consumer"/>
    <x v="2"/>
    <x v="2"/>
    <x v="4"/>
    <x v="364"/>
    <n v="3"/>
    <n v="0"/>
    <x v="365"/>
  </r>
  <r>
    <x v="366"/>
    <x v="223"/>
    <s v="Corporate"/>
    <x v="1"/>
    <x v="2"/>
    <x v="0"/>
    <x v="365"/>
    <n v="3"/>
    <n v="0.1"/>
    <x v="366"/>
  </r>
  <r>
    <x v="367"/>
    <x v="103"/>
    <s v="Consumer"/>
    <x v="0"/>
    <x v="2"/>
    <x v="5"/>
    <x v="366"/>
    <n v="5"/>
    <n v="0.1"/>
    <x v="367"/>
  </r>
  <r>
    <x v="368"/>
    <x v="56"/>
    <s v="Consumer"/>
    <x v="2"/>
    <x v="1"/>
    <x v="6"/>
    <x v="367"/>
    <n v="10"/>
    <n v="0.05"/>
    <x v="368"/>
  </r>
  <r>
    <x v="369"/>
    <x v="105"/>
    <s v="Corporate"/>
    <x v="0"/>
    <x v="0"/>
    <x v="1"/>
    <x v="368"/>
    <n v="2"/>
    <n v="0.1"/>
    <x v="369"/>
  </r>
  <r>
    <x v="370"/>
    <x v="116"/>
    <s v="Corporate"/>
    <x v="0"/>
    <x v="1"/>
    <x v="5"/>
    <x v="369"/>
    <n v="10"/>
    <n v="0.05"/>
    <x v="370"/>
  </r>
  <r>
    <x v="371"/>
    <x v="224"/>
    <s v="Home Office"/>
    <x v="3"/>
    <x v="2"/>
    <x v="5"/>
    <x v="370"/>
    <n v="1"/>
    <n v="0"/>
    <x v="371"/>
  </r>
  <r>
    <x v="372"/>
    <x v="99"/>
    <s v="Consumer"/>
    <x v="0"/>
    <x v="1"/>
    <x v="1"/>
    <x v="371"/>
    <n v="3"/>
    <n v="0.15"/>
    <x v="372"/>
  </r>
  <r>
    <x v="373"/>
    <x v="80"/>
    <s v="Home Office"/>
    <x v="2"/>
    <x v="0"/>
    <x v="0"/>
    <x v="372"/>
    <n v="6"/>
    <n v="0.15"/>
    <x v="373"/>
  </r>
  <r>
    <x v="374"/>
    <x v="225"/>
    <s v="Home Office"/>
    <x v="1"/>
    <x v="1"/>
    <x v="3"/>
    <x v="373"/>
    <n v="9"/>
    <n v="0"/>
    <x v="374"/>
  </r>
  <r>
    <x v="375"/>
    <x v="226"/>
    <s v="Home Office"/>
    <x v="1"/>
    <x v="0"/>
    <x v="5"/>
    <x v="374"/>
    <n v="7"/>
    <n v="0.1"/>
    <x v="375"/>
  </r>
  <r>
    <x v="376"/>
    <x v="169"/>
    <s v="Home Office"/>
    <x v="0"/>
    <x v="1"/>
    <x v="3"/>
    <x v="375"/>
    <n v="8"/>
    <n v="0"/>
    <x v="376"/>
  </r>
  <r>
    <x v="377"/>
    <x v="197"/>
    <s v="Consumer"/>
    <x v="1"/>
    <x v="2"/>
    <x v="6"/>
    <x v="376"/>
    <n v="3"/>
    <n v="0.15"/>
    <x v="377"/>
  </r>
  <r>
    <x v="378"/>
    <x v="8"/>
    <s v="Consumer"/>
    <x v="3"/>
    <x v="0"/>
    <x v="4"/>
    <x v="377"/>
    <n v="5"/>
    <n v="0.1"/>
    <x v="378"/>
  </r>
  <r>
    <x v="379"/>
    <x v="227"/>
    <s v="Consumer"/>
    <x v="0"/>
    <x v="2"/>
    <x v="0"/>
    <x v="378"/>
    <n v="8"/>
    <n v="0.15"/>
    <x v="379"/>
  </r>
  <r>
    <x v="380"/>
    <x v="87"/>
    <s v="Consumer"/>
    <x v="3"/>
    <x v="1"/>
    <x v="0"/>
    <x v="379"/>
    <n v="4"/>
    <n v="0.1"/>
    <x v="380"/>
  </r>
  <r>
    <x v="381"/>
    <x v="228"/>
    <s v="Consumer"/>
    <x v="2"/>
    <x v="2"/>
    <x v="3"/>
    <x v="380"/>
    <n v="1"/>
    <n v="0.15"/>
    <x v="381"/>
  </r>
  <r>
    <x v="382"/>
    <x v="196"/>
    <s v="Home Office"/>
    <x v="2"/>
    <x v="0"/>
    <x v="5"/>
    <x v="381"/>
    <n v="5"/>
    <n v="0.15"/>
    <x v="382"/>
  </r>
  <r>
    <x v="383"/>
    <x v="66"/>
    <s v="Consumer"/>
    <x v="3"/>
    <x v="0"/>
    <x v="6"/>
    <x v="382"/>
    <n v="8"/>
    <n v="0"/>
    <x v="383"/>
  </r>
  <r>
    <x v="384"/>
    <x v="44"/>
    <s v="Home Office"/>
    <x v="1"/>
    <x v="2"/>
    <x v="0"/>
    <x v="383"/>
    <n v="5"/>
    <n v="0.15"/>
    <x v="384"/>
  </r>
  <r>
    <x v="385"/>
    <x v="121"/>
    <s v="Home Office"/>
    <x v="2"/>
    <x v="2"/>
    <x v="6"/>
    <x v="384"/>
    <n v="9"/>
    <n v="0.05"/>
    <x v="385"/>
  </r>
  <r>
    <x v="386"/>
    <x v="10"/>
    <s v="Corporate"/>
    <x v="2"/>
    <x v="1"/>
    <x v="4"/>
    <x v="385"/>
    <n v="2"/>
    <n v="0.15"/>
    <x v="386"/>
  </r>
  <r>
    <x v="387"/>
    <x v="229"/>
    <s v="Corporate"/>
    <x v="1"/>
    <x v="1"/>
    <x v="1"/>
    <x v="386"/>
    <n v="2"/>
    <n v="0"/>
    <x v="387"/>
  </r>
  <r>
    <x v="388"/>
    <x v="230"/>
    <s v="Corporate"/>
    <x v="0"/>
    <x v="2"/>
    <x v="2"/>
    <x v="387"/>
    <n v="6"/>
    <n v="0.15"/>
    <x v="388"/>
  </r>
  <r>
    <x v="389"/>
    <x v="136"/>
    <s v="Consumer"/>
    <x v="0"/>
    <x v="0"/>
    <x v="2"/>
    <x v="388"/>
    <n v="1"/>
    <n v="0.1"/>
    <x v="389"/>
  </r>
  <r>
    <x v="390"/>
    <x v="231"/>
    <s v="Corporate"/>
    <x v="0"/>
    <x v="1"/>
    <x v="0"/>
    <x v="389"/>
    <n v="3"/>
    <n v="0.15"/>
    <x v="390"/>
  </r>
  <r>
    <x v="391"/>
    <x v="201"/>
    <s v="Consumer"/>
    <x v="3"/>
    <x v="1"/>
    <x v="4"/>
    <x v="390"/>
    <n v="4"/>
    <n v="0.15"/>
    <x v="391"/>
  </r>
  <r>
    <x v="392"/>
    <x v="75"/>
    <s v="Corporate"/>
    <x v="3"/>
    <x v="1"/>
    <x v="5"/>
    <x v="391"/>
    <n v="5"/>
    <n v="0.15"/>
    <x v="392"/>
  </r>
  <r>
    <x v="393"/>
    <x v="124"/>
    <s v="Consumer"/>
    <x v="2"/>
    <x v="1"/>
    <x v="2"/>
    <x v="392"/>
    <n v="9"/>
    <n v="0.05"/>
    <x v="393"/>
  </r>
  <r>
    <x v="394"/>
    <x v="232"/>
    <s v="Home Office"/>
    <x v="1"/>
    <x v="1"/>
    <x v="5"/>
    <x v="393"/>
    <n v="7"/>
    <n v="0.05"/>
    <x v="394"/>
  </r>
  <r>
    <x v="395"/>
    <x v="233"/>
    <s v="Corporate"/>
    <x v="0"/>
    <x v="1"/>
    <x v="5"/>
    <x v="394"/>
    <n v="3"/>
    <n v="0"/>
    <x v="395"/>
  </r>
  <r>
    <x v="396"/>
    <x v="171"/>
    <s v="Consumer"/>
    <x v="2"/>
    <x v="2"/>
    <x v="5"/>
    <x v="395"/>
    <n v="7"/>
    <n v="0.15"/>
    <x v="396"/>
  </r>
  <r>
    <x v="397"/>
    <x v="21"/>
    <s v="Home Office"/>
    <x v="0"/>
    <x v="2"/>
    <x v="6"/>
    <x v="396"/>
    <n v="4"/>
    <n v="0"/>
    <x v="397"/>
  </r>
  <r>
    <x v="398"/>
    <x v="120"/>
    <s v="Home Office"/>
    <x v="2"/>
    <x v="1"/>
    <x v="4"/>
    <x v="397"/>
    <n v="8"/>
    <n v="0.1"/>
    <x v="398"/>
  </r>
  <r>
    <x v="399"/>
    <x v="90"/>
    <s v="Consumer"/>
    <x v="0"/>
    <x v="1"/>
    <x v="4"/>
    <x v="398"/>
    <n v="1"/>
    <n v="0"/>
    <x v="399"/>
  </r>
  <r>
    <x v="400"/>
    <x v="140"/>
    <s v="Corporate"/>
    <x v="2"/>
    <x v="1"/>
    <x v="0"/>
    <x v="399"/>
    <n v="3"/>
    <n v="0.15"/>
    <x v="400"/>
  </r>
  <r>
    <x v="401"/>
    <x v="234"/>
    <s v="Consumer"/>
    <x v="1"/>
    <x v="0"/>
    <x v="4"/>
    <x v="400"/>
    <n v="4"/>
    <n v="0.05"/>
    <x v="401"/>
  </r>
  <r>
    <x v="402"/>
    <x v="71"/>
    <s v="Home Office"/>
    <x v="0"/>
    <x v="1"/>
    <x v="0"/>
    <x v="401"/>
    <n v="6"/>
    <n v="0.15"/>
    <x v="402"/>
  </r>
  <r>
    <x v="403"/>
    <x v="64"/>
    <s v="Consumer"/>
    <x v="0"/>
    <x v="1"/>
    <x v="6"/>
    <x v="402"/>
    <n v="1"/>
    <n v="0.05"/>
    <x v="403"/>
  </r>
  <r>
    <x v="404"/>
    <x v="35"/>
    <s v="Corporate"/>
    <x v="3"/>
    <x v="1"/>
    <x v="1"/>
    <x v="403"/>
    <n v="1"/>
    <n v="0.15"/>
    <x v="404"/>
  </r>
  <r>
    <x v="405"/>
    <x v="32"/>
    <s v="Corporate"/>
    <x v="1"/>
    <x v="1"/>
    <x v="1"/>
    <x v="404"/>
    <n v="3"/>
    <n v="0"/>
    <x v="405"/>
  </r>
  <r>
    <x v="406"/>
    <x v="169"/>
    <s v="Consumer"/>
    <x v="3"/>
    <x v="2"/>
    <x v="1"/>
    <x v="405"/>
    <n v="7"/>
    <n v="0"/>
    <x v="406"/>
  </r>
  <r>
    <x v="407"/>
    <x v="228"/>
    <s v="Consumer"/>
    <x v="1"/>
    <x v="1"/>
    <x v="6"/>
    <x v="406"/>
    <n v="5"/>
    <n v="0.1"/>
    <x v="407"/>
  </r>
  <r>
    <x v="408"/>
    <x v="122"/>
    <s v="Consumer"/>
    <x v="1"/>
    <x v="2"/>
    <x v="2"/>
    <x v="407"/>
    <n v="10"/>
    <n v="0.15"/>
    <x v="408"/>
  </r>
  <r>
    <x v="409"/>
    <x v="235"/>
    <s v="Corporate"/>
    <x v="3"/>
    <x v="2"/>
    <x v="4"/>
    <x v="408"/>
    <n v="9"/>
    <n v="0"/>
    <x v="409"/>
  </r>
  <r>
    <x v="410"/>
    <x v="236"/>
    <s v="Consumer"/>
    <x v="3"/>
    <x v="0"/>
    <x v="0"/>
    <x v="409"/>
    <n v="2"/>
    <n v="0.1"/>
    <x v="410"/>
  </r>
  <r>
    <x v="411"/>
    <x v="237"/>
    <s v="Consumer"/>
    <x v="2"/>
    <x v="0"/>
    <x v="2"/>
    <x v="410"/>
    <n v="7"/>
    <n v="0.05"/>
    <x v="411"/>
  </r>
  <r>
    <x v="412"/>
    <x v="88"/>
    <s v="Home Office"/>
    <x v="2"/>
    <x v="2"/>
    <x v="2"/>
    <x v="411"/>
    <n v="9"/>
    <n v="0.15"/>
    <x v="412"/>
  </r>
  <r>
    <x v="413"/>
    <x v="41"/>
    <s v="Corporate"/>
    <x v="2"/>
    <x v="0"/>
    <x v="5"/>
    <x v="412"/>
    <n v="6"/>
    <n v="0"/>
    <x v="413"/>
  </r>
  <r>
    <x v="414"/>
    <x v="55"/>
    <s v="Corporate"/>
    <x v="2"/>
    <x v="1"/>
    <x v="3"/>
    <x v="413"/>
    <n v="8"/>
    <n v="0.15"/>
    <x v="414"/>
  </r>
  <r>
    <x v="415"/>
    <x v="185"/>
    <s v="Corporate"/>
    <x v="2"/>
    <x v="0"/>
    <x v="2"/>
    <x v="414"/>
    <n v="9"/>
    <n v="0.05"/>
    <x v="415"/>
  </r>
  <r>
    <x v="416"/>
    <x v="25"/>
    <s v="Corporate"/>
    <x v="2"/>
    <x v="2"/>
    <x v="3"/>
    <x v="415"/>
    <n v="2"/>
    <n v="0.1"/>
    <x v="416"/>
  </r>
  <r>
    <x v="417"/>
    <x v="97"/>
    <s v="Home Office"/>
    <x v="3"/>
    <x v="2"/>
    <x v="5"/>
    <x v="416"/>
    <n v="10"/>
    <n v="0.1"/>
    <x v="417"/>
  </r>
  <r>
    <x v="418"/>
    <x v="214"/>
    <s v="Home Office"/>
    <x v="3"/>
    <x v="1"/>
    <x v="1"/>
    <x v="417"/>
    <n v="3"/>
    <n v="0.15"/>
    <x v="418"/>
  </r>
  <r>
    <x v="419"/>
    <x v="187"/>
    <s v="Consumer"/>
    <x v="2"/>
    <x v="1"/>
    <x v="2"/>
    <x v="418"/>
    <n v="4"/>
    <n v="0.05"/>
    <x v="419"/>
  </r>
  <r>
    <x v="420"/>
    <x v="238"/>
    <s v="Consumer"/>
    <x v="2"/>
    <x v="2"/>
    <x v="6"/>
    <x v="419"/>
    <n v="7"/>
    <n v="0.1"/>
    <x v="420"/>
  </r>
  <r>
    <x v="421"/>
    <x v="224"/>
    <s v="Corporate"/>
    <x v="0"/>
    <x v="0"/>
    <x v="6"/>
    <x v="420"/>
    <n v="8"/>
    <n v="0"/>
    <x v="421"/>
  </r>
  <r>
    <x v="422"/>
    <x v="43"/>
    <s v="Home Office"/>
    <x v="1"/>
    <x v="2"/>
    <x v="4"/>
    <x v="421"/>
    <n v="9"/>
    <n v="0"/>
    <x v="422"/>
  </r>
  <r>
    <x v="423"/>
    <x v="201"/>
    <s v="Consumer"/>
    <x v="3"/>
    <x v="1"/>
    <x v="5"/>
    <x v="422"/>
    <n v="5"/>
    <n v="0"/>
    <x v="423"/>
  </r>
  <r>
    <x v="424"/>
    <x v="239"/>
    <s v="Corporate"/>
    <x v="0"/>
    <x v="1"/>
    <x v="5"/>
    <x v="423"/>
    <n v="4"/>
    <n v="0"/>
    <x v="424"/>
  </r>
  <r>
    <x v="425"/>
    <x v="202"/>
    <s v="Corporate"/>
    <x v="3"/>
    <x v="1"/>
    <x v="5"/>
    <x v="424"/>
    <n v="4"/>
    <n v="0.1"/>
    <x v="425"/>
  </r>
  <r>
    <x v="426"/>
    <x v="60"/>
    <s v="Corporate"/>
    <x v="1"/>
    <x v="0"/>
    <x v="0"/>
    <x v="425"/>
    <n v="9"/>
    <n v="0.1"/>
    <x v="426"/>
  </r>
  <r>
    <x v="427"/>
    <x v="33"/>
    <s v="Consumer"/>
    <x v="2"/>
    <x v="2"/>
    <x v="6"/>
    <x v="426"/>
    <n v="2"/>
    <n v="0.1"/>
    <x v="427"/>
  </r>
  <r>
    <x v="428"/>
    <x v="240"/>
    <s v="Consumer"/>
    <x v="3"/>
    <x v="1"/>
    <x v="3"/>
    <x v="427"/>
    <n v="6"/>
    <n v="0.1"/>
    <x v="428"/>
  </r>
  <r>
    <x v="429"/>
    <x v="43"/>
    <s v="Corporate"/>
    <x v="0"/>
    <x v="0"/>
    <x v="6"/>
    <x v="428"/>
    <n v="9"/>
    <n v="0.05"/>
    <x v="429"/>
  </r>
  <r>
    <x v="430"/>
    <x v="241"/>
    <s v="Home Office"/>
    <x v="1"/>
    <x v="0"/>
    <x v="0"/>
    <x v="429"/>
    <n v="1"/>
    <n v="0.05"/>
    <x v="430"/>
  </r>
  <r>
    <x v="431"/>
    <x v="221"/>
    <s v="Corporate"/>
    <x v="3"/>
    <x v="1"/>
    <x v="0"/>
    <x v="430"/>
    <n v="10"/>
    <n v="0.1"/>
    <x v="431"/>
  </r>
  <r>
    <x v="432"/>
    <x v="176"/>
    <s v="Corporate"/>
    <x v="0"/>
    <x v="0"/>
    <x v="2"/>
    <x v="431"/>
    <n v="10"/>
    <n v="0.15"/>
    <x v="432"/>
  </r>
  <r>
    <x v="433"/>
    <x v="63"/>
    <s v="Consumer"/>
    <x v="2"/>
    <x v="2"/>
    <x v="6"/>
    <x v="432"/>
    <n v="2"/>
    <n v="0.05"/>
    <x v="433"/>
  </r>
  <r>
    <x v="434"/>
    <x v="64"/>
    <s v="Consumer"/>
    <x v="1"/>
    <x v="0"/>
    <x v="2"/>
    <x v="433"/>
    <n v="3"/>
    <n v="0.15"/>
    <x v="434"/>
  </r>
  <r>
    <x v="435"/>
    <x v="106"/>
    <s v="Corporate"/>
    <x v="0"/>
    <x v="0"/>
    <x v="4"/>
    <x v="434"/>
    <n v="2"/>
    <n v="0.1"/>
    <x v="435"/>
  </r>
  <r>
    <x v="436"/>
    <x v="242"/>
    <s v="Consumer"/>
    <x v="0"/>
    <x v="1"/>
    <x v="5"/>
    <x v="435"/>
    <n v="5"/>
    <n v="0.15"/>
    <x v="436"/>
  </r>
  <r>
    <x v="437"/>
    <x v="91"/>
    <s v="Home Office"/>
    <x v="2"/>
    <x v="0"/>
    <x v="4"/>
    <x v="436"/>
    <n v="5"/>
    <n v="0.15"/>
    <x v="437"/>
  </r>
  <r>
    <x v="438"/>
    <x v="243"/>
    <s v="Corporate"/>
    <x v="2"/>
    <x v="0"/>
    <x v="4"/>
    <x v="437"/>
    <n v="3"/>
    <n v="0"/>
    <x v="438"/>
  </r>
  <r>
    <x v="439"/>
    <x v="24"/>
    <s v="Consumer"/>
    <x v="3"/>
    <x v="1"/>
    <x v="3"/>
    <x v="438"/>
    <n v="10"/>
    <n v="0.05"/>
    <x v="439"/>
  </r>
  <r>
    <x v="440"/>
    <x v="190"/>
    <s v="Home Office"/>
    <x v="3"/>
    <x v="2"/>
    <x v="6"/>
    <x v="439"/>
    <n v="4"/>
    <n v="0.05"/>
    <x v="440"/>
  </r>
  <r>
    <x v="441"/>
    <x v="226"/>
    <s v="Corporate"/>
    <x v="3"/>
    <x v="2"/>
    <x v="1"/>
    <x v="440"/>
    <n v="1"/>
    <n v="0"/>
    <x v="441"/>
  </r>
  <r>
    <x v="442"/>
    <x v="244"/>
    <s v="Corporate"/>
    <x v="1"/>
    <x v="1"/>
    <x v="4"/>
    <x v="441"/>
    <n v="9"/>
    <n v="0"/>
    <x v="442"/>
  </r>
  <r>
    <x v="443"/>
    <x v="245"/>
    <s v="Corporate"/>
    <x v="2"/>
    <x v="1"/>
    <x v="5"/>
    <x v="442"/>
    <n v="3"/>
    <n v="0.1"/>
    <x v="443"/>
  </r>
  <r>
    <x v="444"/>
    <x v="214"/>
    <s v="Home Office"/>
    <x v="2"/>
    <x v="0"/>
    <x v="1"/>
    <x v="443"/>
    <n v="8"/>
    <n v="0.05"/>
    <x v="444"/>
  </r>
  <r>
    <x v="445"/>
    <x v="239"/>
    <s v="Consumer"/>
    <x v="3"/>
    <x v="2"/>
    <x v="2"/>
    <x v="444"/>
    <n v="3"/>
    <n v="0"/>
    <x v="445"/>
  </r>
  <r>
    <x v="446"/>
    <x v="246"/>
    <s v="Home Office"/>
    <x v="0"/>
    <x v="2"/>
    <x v="4"/>
    <x v="445"/>
    <n v="2"/>
    <n v="0.05"/>
    <x v="446"/>
  </r>
  <r>
    <x v="447"/>
    <x v="118"/>
    <s v="Home Office"/>
    <x v="3"/>
    <x v="0"/>
    <x v="3"/>
    <x v="446"/>
    <n v="9"/>
    <n v="0.05"/>
    <x v="447"/>
  </r>
  <r>
    <x v="448"/>
    <x v="203"/>
    <s v="Corporate"/>
    <x v="3"/>
    <x v="2"/>
    <x v="1"/>
    <x v="447"/>
    <n v="7"/>
    <n v="0.15"/>
    <x v="448"/>
  </r>
  <r>
    <x v="449"/>
    <x v="245"/>
    <s v="Corporate"/>
    <x v="0"/>
    <x v="2"/>
    <x v="5"/>
    <x v="448"/>
    <n v="7"/>
    <n v="0.05"/>
    <x v="449"/>
  </r>
  <r>
    <x v="450"/>
    <x v="56"/>
    <s v="Consumer"/>
    <x v="0"/>
    <x v="2"/>
    <x v="3"/>
    <x v="449"/>
    <n v="9"/>
    <n v="0"/>
    <x v="450"/>
  </r>
  <r>
    <x v="451"/>
    <x v="181"/>
    <s v="Home Office"/>
    <x v="1"/>
    <x v="1"/>
    <x v="5"/>
    <x v="450"/>
    <n v="5"/>
    <n v="0.15"/>
    <x v="451"/>
  </r>
  <r>
    <x v="452"/>
    <x v="247"/>
    <s v="Home Office"/>
    <x v="1"/>
    <x v="2"/>
    <x v="5"/>
    <x v="451"/>
    <n v="5"/>
    <n v="0.05"/>
    <x v="452"/>
  </r>
  <r>
    <x v="453"/>
    <x v="27"/>
    <s v="Corporate"/>
    <x v="2"/>
    <x v="2"/>
    <x v="2"/>
    <x v="452"/>
    <n v="7"/>
    <n v="0"/>
    <x v="453"/>
  </r>
  <r>
    <x v="454"/>
    <x v="29"/>
    <s v="Consumer"/>
    <x v="0"/>
    <x v="1"/>
    <x v="4"/>
    <x v="453"/>
    <n v="7"/>
    <n v="0.15"/>
    <x v="454"/>
  </r>
  <r>
    <x v="455"/>
    <x v="18"/>
    <s v="Home Office"/>
    <x v="0"/>
    <x v="1"/>
    <x v="4"/>
    <x v="454"/>
    <n v="2"/>
    <n v="0.15"/>
    <x v="455"/>
  </r>
  <r>
    <x v="456"/>
    <x v="34"/>
    <s v="Corporate"/>
    <x v="3"/>
    <x v="1"/>
    <x v="0"/>
    <x v="455"/>
    <n v="7"/>
    <n v="0.05"/>
    <x v="456"/>
  </r>
  <r>
    <x v="457"/>
    <x v="29"/>
    <s v="Corporate"/>
    <x v="0"/>
    <x v="0"/>
    <x v="4"/>
    <x v="456"/>
    <n v="1"/>
    <n v="0"/>
    <x v="457"/>
  </r>
  <r>
    <x v="458"/>
    <x v="232"/>
    <s v="Corporate"/>
    <x v="2"/>
    <x v="0"/>
    <x v="1"/>
    <x v="457"/>
    <n v="9"/>
    <n v="0.1"/>
    <x v="458"/>
  </r>
  <r>
    <x v="459"/>
    <x v="248"/>
    <s v="Corporate"/>
    <x v="1"/>
    <x v="0"/>
    <x v="1"/>
    <x v="458"/>
    <n v="10"/>
    <n v="0.1"/>
    <x v="459"/>
  </r>
  <r>
    <x v="460"/>
    <x v="249"/>
    <s v="Corporate"/>
    <x v="1"/>
    <x v="1"/>
    <x v="0"/>
    <x v="459"/>
    <n v="9"/>
    <n v="0.05"/>
    <x v="460"/>
  </r>
  <r>
    <x v="461"/>
    <x v="250"/>
    <s v="Consumer"/>
    <x v="0"/>
    <x v="1"/>
    <x v="0"/>
    <x v="460"/>
    <n v="2"/>
    <n v="0"/>
    <x v="461"/>
  </r>
  <r>
    <x v="462"/>
    <x v="155"/>
    <s v="Consumer"/>
    <x v="0"/>
    <x v="2"/>
    <x v="5"/>
    <x v="461"/>
    <n v="3"/>
    <n v="0.15"/>
    <x v="462"/>
  </r>
  <r>
    <x v="463"/>
    <x v="2"/>
    <s v="Home Office"/>
    <x v="0"/>
    <x v="2"/>
    <x v="2"/>
    <x v="462"/>
    <n v="3"/>
    <n v="0"/>
    <x v="463"/>
  </r>
  <r>
    <x v="464"/>
    <x v="47"/>
    <s v="Home Office"/>
    <x v="1"/>
    <x v="0"/>
    <x v="5"/>
    <x v="463"/>
    <n v="10"/>
    <n v="0.1"/>
    <x v="464"/>
  </r>
  <r>
    <x v="465"/>
    <x v="251"/>
    <s v="Corporate"/>
    <x v="3"/>
    <x v="0"/>
    <x v="4"/>
    <x v="464"/>
    <n v="4"/>
    <n v="0"/>
    <x v="465"/>
  </r>
  <r>
    <x v="466"/>
    <x v="111"/>
    <s v="Consumer"/>
    <x v="3"/>
    <x v="0"/>
    <x v="0"/>
    <x v="465"/>
    <n v="10"/>
    <n v="0.1"/>
    <x v="466"/>
  </r>
  <r>
    <x v="467"/>
    <x v="182"/>
    <s v="Home Office"/>
    <x v="2"/>
    <x v="1"/>
    <x v="3"/>
    <x v="466"/>
    <n v="7"/>
    <n v="0.15"/>
    <x v="467"/>
  </r>
  <r>
    <x v="468"/>
    <x v="128"/>
    <s v="Corporate"/>
    <x v="2"/>
    <x v="2"/>
    <x v="5"/>
    <x v="467"/>
    <n v="1"/>
    <n v="0"/>
    <x v="468"/>
  </r>
  <r>
    <x v="469"/>
    <x v="201"/>
    <s v="Home Office"/>
    <x v="2"/>
    <x v="1"/>
    <x v="6"/>
    <x v="468"/>
    <n v="5"/>
    <n v="0.1"/>
    <x v="469"/>
  </r>
  <r>
    <x v="470"/>
    <x v="81"/>
    <s v="Home Office"/>
    <x v="0"/>
    <x v="2"/>
    <x v="3"/>
    <x v="469"/>
    <n v="5"/>
    <n v="0.15"/>
    <x v="470"/>
  </r>
  <r>
    <x v="471"/>
    <x v="231"/>
    <s v="Home Office"/>
    <x v="3"/>
    <x v="1"/>
    <x v="2"/>
    <x v="470"/>
    <n v="7"/>
    <n v="0"/>
    <x v="471"/>
  </r>
  <r>
    <x v="472"/>
    <x v="138"/>
    <s v="Consumer"/>
    <x v="1"/>
    <x v="1"/>
    <x v="4"/>
    <x v="471"/>
    <n v="9"/>
    <n v="0.05"/>
    <x v="472"/>
  </r>
  <r>
    <x v="473"/>
    <x v="252"/>
    <s v="Home Office"/>
    <x v="2"/>
    <x v="2"/>
    <x v="5"/>
    <x v="472"/>
    <n v="1"/>
    <n v="0.15"/>
    <x v="473"/>
  </r>
  <r>
    <x v="474"/>
    <x v="123"/>
    <s v="Corporate"/>
    <x v="3"/>
    <x v="2"/>
    <x v="5"/>
    <x v="473"/>
    <n v="5"/>
    <n v="0.05"/>
    <x v="474"/>
  </r>
  <r>
    <x v="475"/>
    <x v="253"/>
    <s v="Home Office"/>
    <x v="2"/>
    <x v="1"/>
    <x v="5"/>
    <x v="474"/>
    <n v="7"/>
    <n v="0.05"/>
    <x v="475"/>
  </r>
  <r>
    <x v="476"/>
    <x v="20"/>
    <s v="Corporate"/>
    <x v="2"/>
    <x v="2"/>
    <x v="0"/>
    <x v="475"/>
    <n v="4"/>
    <n v="0.1"/>
    <x v="476"/>
  </r>
  <r>
    <x v="477"/>
    <x v="93"/>
    <s v="Consumer"/>
    <x v="1"/>
    <x v="2"/>
    <x v="0"/>
    <x v="476"/>
    <n v="9"/>
    <n v="0"/>
    <x v="477"/>
  </r>
  <r>
    <x v="478"/>
    <x v="223"/>
    <s v="Home Office"/>
    <x v="2"/>
    <x v="0"/>
    <x v="6"/>
    <x v="477"/>
    <n v="7"/>
    <n v="0.1"/>
    <x v="478"/>
  </r>
  <r>
    <x v="479"/>
    <x v="166"/>
    <s v="Home Office"/>
    <x v="1"/>
    <x v="1"/>
    <x v="4"/>
    <x v="478"/>
    <n v="10"/>
    <n v="0"/>
    <x v="479"/>
  </r>
  <r>
    <x v="480"/>
    <x v="236"/>
    <s v="Corporate"/>
    <x v="2"/>
    <x v="0"/>
    <x v="4"/>
    <x v="479"/>
    <n v="1"/>
    <n v="0.1"/>
    <x v="480"/>
  </r>
  <r>
    <x v="481"/>
    <x v="197"/>
    <s v="Consumer"/>
    <x v="1"/>
    <x v="1"/>
    <x v="5"/>
    <x v="480"/>
    <n v="4"/>
    <n v="0"/>
    <x v="481"/>
  </r>
  <r>
    <x v="482"/>
    <x v="254"/>
    <s v="Consumer"/>
    <x v="0"/>
    <x v="1"/>
    <x v="2"/>
    <x v="481"/>
    <n v="2"/>
    <n v="0.05"/>
    <x v="482"/>
  </r>
  <r>
    <x v="483"/>
    <x v="77"/>
    <s v="Consumer"/>
    <x v="3"/>
    <x v="1"/>
    <x v="3"/>
    <x v="482"/>
    <n v="6"/>
    <n v="0.05"/>
    <x v="483"/>
  </r>
  <r>
    <x v="484"/>
    <x v="169"/>
    <s v="Consumer"/>
    <x v="1"/>
    <x v="0"/>
    <x v="1"/>
    <x v="483"/>
    <n v="5"/>
    <n v="0"/>
    <x v="484"/>
  </r>
  <r>
    <x v="485"/>
    <x v="216"/>
    <s v="Consumer"/>
    <x v="0"/>
    <x v="1"/>
    <x v="1"/>
    <x v="484"/>
    <n v="9"/>
    <n v="0.1"/>
    <x v="485"/>
  </r>
  <r>
    <x v="486"/>
    <x v="59"/>
    <s v="Home Office"/>
    <x v="0"/>
    <x v="1"/>
    <x v="5"/>
    <x v="485"/>
    <n v="2"/>
    <n v="0.1"/>
    <x v="486"/>
  </r>
  <r>
    <x v="487"/>
    <x v="88"/>
    <s v="Corporate"/>
    <x v="3"/>
    <x v="0"/>
    <x v="3"/>
    <x v="486"/>
    <n v="8"/>
    <n v="0.05"/>
    <x v="487"/>
  </r>
  <r>
    <x v="488"/>
    <x v="204"/>
    <s v="Consumer"/>
    <x v="1"/>
    <x v="1"/>
    <x v="6"/>
    <x v="487"/>
    <n v="5"/>
    <n v="0"/>
    <x v="488"/>
  </r>
  <r>
    <x v="489"/>
    <x v="183"/>
    <s v="Corporate"/>
    <x v="2"/>
    <x v="1"/>
    <x v="4"/>
    <x v="488"/>
    <n v="4"/>
    <n v="0"/>
    <x v="489"/>
  </r>
  <r>
    <x v="490"/>
    <x v="8"/>
    <s v="Consumer"/>
    <x v="1"/>
    <x v="2"/>
    <x v="3"/>
    <x v="489"/>
    <n v="9"/>
    <n v="0"/>
    <x v="490"/>
  </r>
  <r>
    <x v="491"/>
    <x v="9"/>
    <s v="Corporate"/>
    <x v="0"/>
    <x v="1"/>
    <x v="6"/>
    <x v="490"/>
    <n v="5"/>
    <n v="0.15"/>
    <x v="491"/>
  </r>
  <r>
    <x v="492"/>
    <x v="219"/>
    <s v="Home Office"/>
    <x v="0"/>
    <x v="1"/>
    <x v="3"/>
    <x v="491"/>
    <n v="5"/>
    <n v="0.1"/>
    <x v="492"/>
  </r>
  <r>
    <x v="493"/>
    <x v="3"/>
    <s v="Consumer"/>
    <x v="3"/>
    <x v="0"/>
    <x v="5"/>
    <x v="492"/>
    <n v="10"/>
    <n v="0.15"/>
    <x v="493"/>
  </r>
  <r>
    <x v="494"/>
    <x v="244"/>
    <s v="Corporate"/>
    <x v="2"/>
    <x v="2"/>
    <x v="2"/>
    <x v="493"/>
    <n v="6"/>
    <n v="0.05"/>
    <x v="494"/>
  </r>
  <r>
    <x v="495"/>
    <x v="249"/>
    <s v="Home Office"/>
    <x v="1"/>
    <x v="0"/>
    <x v="6"/>
    <x v="494"/>
    <n v="9"/>
    <n v="0"/>
    <x v="495"/>
  </r>
  <r>
    <x v="496"/>
    <x v="90"/>
    <s v="Corporate"/>
    <x v="2"/>
    <x v="1"/>
    <x v="6"/>
    <x v="495"/>
    <n v="6"/>
    <n v="0"/>
    <x v="496"/>
  </r>
  <r>
    <x v="497"/>
    <x v="255"/>
    <s v="Home Office"/>
    <x v="3"/>
    <x v="2"/>
    <x v="5"/>
    <x v="496"/>
    <n v="5"/>
    <n v="0.15"/>
    <x v="497"/>
  </r>
  <r>
    <x v="498"/>
    <x v="174"/>
    <s v="Corporate"/>
    <x v="2"/>
    <x v="1"/>
    <x v="4"/>
    <x v="497"/>
    <n v="3"/>
    <n v="0.05"/>
    <x v="498"/>
  </r>
  <r>
    <x v="499"/>
    <x v="187"/>
    <s v="Corporate"/>
    <x v="2"/>
    <x v="0"/>
    <x v="4"/>
    <x v="498"/>
    <n v="10"/>
    <n v="0.05"/>
    <x v="499"/>
  </r>
  <r>
    <x v="500"/>
    <x v="231"/>
    <s v="Home Office"/>
    <x v="1"/>
    <x v="0"/>
    <x v="4"/>
    <x v="499"/>
    <n v="3"/>
    <n v="0.1"/>
    <x v="500"/>
  </r>
  <r>
    <x v="501"/>
    <x v="68"/>
    <s v="Corporate"/>
    <x v="0"/>
    <x v="1"/>
    <x v="2"/>
    <x v="500"/>
    <n v="6"/>
    <n v="0.05"/>
    <x v="501"/>
  </r>
  <r>
    <x v="502"/>
    <x v="254"/>
    <s v="Home Office"/>
    <x v="2"/>
    <x v="1"/>
    <x v="1"/>
    <x v="501"/>
    <n v="7"/>
    <n v="0.05"/>
    <x v="502"/>
  </r>
  <r>
    <x v="503"/>
    <x v="256"/>
    <s v="Corporate"/>
    <x v="3"/>
    <x v="0"/>
    <x v="6"/>
    <x v="502"/>
    <n v="9"/>
    <n v="0.05"/>
    <x v="503"/>
  </r>
  <r>
    <x v="504"/>
    <x v="106"/>
    <s v="Corporate"/>
    <x v="0"/>
    <x v="2"/>
    <x v="3"/>
    <x v="503"/>
    <n v="2"/>
    <n v="0.05"/>
    <x v="504"/>
  </r>
  <r>
    <x v="505"/>
    <x v="249"/>
    <s v="Home Office"/>
    <x v="1"/>
    <x v="2"/>
    <x v="2"/>
    <x v="504"/>
    <n v="4"/>
    <n v="0.05"/>
    <x v="505"/>
  </r>
  <r>
    <x v="506"/>
    <x v="94"/>
    <s v="Corporate"/>
    <x v="0"/>
    <x v="0"/>
    <x v="3"/>
    <x v="505"/>
    <n v="4"/>
    <n v="0.15"/>
    <x v="506"/>
  </r>
  <r>
    <x v="507"/>
    <x v="257"/>
    <s v="Home Office"/>
    <x v="3"/>
    <x v="2"/>
    <x v="2"/>
    <x v="506"/>
    <n v="6"/>
    <n v="0"/>
    <x v="507"/>
  </r>
  <r>
    <x v="508"/>
    <x v="150"/>
    <s v="Consumer"/>
    <x v="0"/>
    <x v="0"/>
    <x v="4"/>
    <x v="507"/>
    <n v="10"/>
    <n v="0.15"/>
    <x v="508"/>
  </r>
  <r>
    <x v="509"/>
    <x v="206"/>
    <s v="Home Office"/>
    <x v="2"/>
    <x v="1"/>
    <x v="3"/>
    <x v="508"/>
    <n v="6"/>
    <n v="0.15"/>
    <x v="509"/>
  </r>
  <r>
    <x v="510"/>
    <x v="169"/>
    <s v="Consumer"/>
    <x v="2"/>
    <x v="2"/>
    <x v="4"/>
    <x v="509"/>
    <n v="9"/>
    <n v="0.15"/>
    <x v="510"/>
  </r>
  <r>
    <x v="511"/>
    <x v="258"/>
    <s v="Consumer"/>
    <x v="2"/>
    <x v="1"/>
    <x v="3"/>
    <x v="510"/>
    <n v="7"/>
    <n v="0.1"/>
    <x v="511"/>
  </r>
  <r>
    <x v="512"/>
    <x v="205"/>
    <s v="Consumer"/>
    <x v="2"/>
    <x v="1"/>
    <x v="0"/>
    <x v="511"/>
    <n v="3"/>
    <n v="0.05"/>
    <x v="512"/>
  </r>
  <r>
    <x v="513"/>
    <x v="38"/>
    <s v="Consumer"/>
    <x v="1"/>
    <x v="0"/>
    <x v="6"/>
    <x v="512"/>
    <n v="3"/>
    <n v="0.1"/>
    <x v="513"/>
  </r>
  <r>
    <x v="514"/>
    <x v="205"/>
    <s v="Consumer"/>
    <x v="2"/>
    <x v="2"/>
    <x v="3"/>
    <x v="513"/>
    <n v="4"/>
    <n v="0.1"/>
    <x v="514"/>
  </r>
  <r>
    <x v="515"/>
    <x v="8"/>
    <s v="Corporate"/>
    <x v="2"/>
    <x v="1"/>
    <x v="1"/>
    <x v="514"/>
    <n v="10"/>
    <n v="0"/>
    <x v="515"/>
  </r>
  <r>
    <x v="516"/>
    <x v="35"/>
    <s v="Consumer"/>
    <x v="1"/>
    <x v="0"/>
    <x v="4"/>
    <x v="515"/>
    <n v="4"/>
    <n v="0"/>
    <x v="516"/>
  </r>
  <r>
    <x v="517"/>
    <x v="129"/>
    <s v="Home Office"/>
    <x v="0"/>
    <x v="0"/>
    <x v="2"/>
    <x v="516"/>
    <n v="4"/>
    <n v="0.1"/>
    <x v="517"/>
  </r>
  <r>
    <x v="518"/>
    <x v="21"/>
    <s v="Consumer"/>
    <x v="3"/>
    <x v="0"/>
    <x v="1"/>
    <x v="517"/>
    <n v="6"/>
    <n v="0.05"/>
    <x v="518"/>
  </r>
  <r>
    <x v="519"/>
    <x v="223"/>
    <s v="Consumer"/>
    <x v="1"/>
    <x v="1"/>
    <x v="2"/>
    <x v="518"/>
    <n v="6"/>
    <n v="0.1"/>
    <x v="519"/>
  </r>
  <r>
    <x v="520"/>
    <x v="191"/>
    <s v="Consumer"/>
    <x v="2"/>
    <x v="2"/>
    <x v="0"/>
    <x v="519"/>
    <n v="1"/>
    <n v="0.05"/>
    <x v="520"/>
  </r>
  <r>
    <x v="521"/>
    <x v="218"/>
    <s v="Corporate"/>
    <x v="1"/>
    <x v="0"/>
    <x v="1"/>
    <x v="520"/>
    <n v="4"/>
    <n v="0.1"/>
    <x v="521"/>
  </r>
  <r>
    <x v="522"/>
    <x v="187"/>
    <s v="Corporate"/>
    <x v="2"/>
    <x v="0"/>
    <x v="1"/>
    <x v="521"/>
    <n v="4"/>
    <n v="0.15"/>
    <x v="522"/>
  </r>
  <r>
    <x v="523"/>
    <x v="99"/>
    <s v="Corporate"/>
    <x v="2"/>
    <x v="2"/>
    <x v="1"/>
    <x v="522"/>
    <n v="7"/>
    <n v="0.05"/>
    <x v="523"/>
  </r>
  <r>
    <x v="524"/>
    <x v="4"/>
    <s v="Consumer"/>
    <x v="3"/>
    <x v="2"/>
    <x v="6"/>
    <x v="523"/>
    <n v="4"/>
    <n v="0.05"/>
    <x v="524"/>
  </r>
  <r>
    <x v="525"/>
    <x v="20"/>
    <s v="Consumer"/>
    <x v="2"/>
    <x v="2"/>
    <x v="0"/>
    <x v="524"/>
    <n v="4"/>
    <n v="0.05"/>
    <x v="525"/>
  </r>
  <r>
    <x v="526"/>
    <x v="89"/>
    <s v="Corporate"/>
    <x v="2"/>
    <x v="2"/>
    <x v="3"/>
    <x v="525"/>
    <n v="9"/>
    <n v="0.15"/>
    <x v="526"/>
  </r>
  <r>
    <x v="527"/>
    <x v="259"/>
    <s v="Home Office"/>
    <x v="0"/>
    <x v="1"/>
    <x v="3"/>
    <x v="526"/>
    <n v="4"/>
    <n v="0.05"/>
    <x v="527"/>
  </r>
  <r>
    <x v="528"/>
    <x v="244"/>
    <s v="Corporate"/>
    <x v="1"/>
    <x v="0"/>
    <x v="3"/>
    <x v="527"/>
    <n v="5"/>
    <n v="0"/>
    <x v="528"/>
  </r>
  <r>
    <x v="529"/>
    <x v="217"/>
    <s v="Consumer"/>
    <x v="3"/>
    <x v="1"/>
    <x v="0"/>
    <x v="528"/>
    <n v="7"/>
    <n v="0"/>
    <x v="529"/>
  </r>
  <r>
    <x v="530"/>
    <x v="68"/>
    <s v="Home Office"/>
    <x v="2"/>
    <x v="0"/>
    <x v="5"/>
    <x v="529"/>
    <n v="6"/>
    <n v="0"/>
    <x v="530"/>
  </r>
  <r>
    <x v="531"/>
    <x v="147"/>
    <s v="Consumer"/>
    <x v="1"/>
    <x v="2"/>
    <x v="0"/>
    <x v="530"/>
    <n v="4"/>
    <n v="0"/>
    <x v="531"/>
  </r>
  <r>
    <x v="532"/>
    <x v="219"/>
    <s v="Consumer"/>
    <x v="3"/>
    <x v="0"/>
    <x v="1"/>
    <x v="531"/>
    <n v="1"/>
    <n v="0.1"/>
    <x v="532"/>
  </r>
  <r>
    <x v="533"/>
    <x v="58"/>
    <s v="Home Office"/>
    <x v="2"/>
    <x v="0"/>
    <x v="4"/>
    <x v="532"/>
    <n v="7"/>
    <n v="0.1"/>
    <x v="533"/>
  </r>
  <r>
    <x v="534"/>
    <x v="249"/>
    <s v="Corporate"/>
    <x v="0"/>
    <x v="0"/>
    <x v="2"/>
    <x v="533"/>
    <n v="3"/>
    <n v="0"/>
    <x v="534"/>
  </r>
  <r>
    <x v="535"/>
    <x v="9"/>
    <s v="Home Office"/>
    <x v="2"/>
    <x v="1"/>
    <x v="2"/>
    <x v="534"/>
    <n v="6"/>
    <n v="0"/>
    <x v="535"/>
  </r>
  <r>
    <x v="536"/>
    <x v="232"/>
    <s v="Home Office"/>
    <x v="3"/>
    <x v="2"/>
    <x v="5"/>
    <x v="535"/>
    <n v="9"/>
    <n v="0.05"/>
    <x v="536"/>
  </r>
  <r>
    <x v="537"/>
    <x v="247"/>
    <s v="Consumer"/>
    <x v="0"/>
    <x v="1"/>
    <x v="1"/>
    <x v="536"/>
    <n v="4"/>
    <n v="0.15"/>
    <x v="537"/>
  </r>
  <r>
    <x v="538"/>
    <x v="260"/>
    <s v="Corporate"/>
    <x v="0"/>
    <x v="0"/>
    <x v="1"/>
    <x v="537"/>
    <n v="10"/>
    <n v="0.05"/>
    <x v="538"/>
  </r>
  <r>
    <x v="539"/>
    <x v="49"/>
    <s v="Corporate"/>
    <x v="1"/>
    <x v="2"/>
    <x v="0"/>
    <x v="538"/>
    <n v="8"/>
    <n v="0.05"/>
    <x v="539"/>
  </r>
  <r>
    <x v="540"/>
    <x v="223"/>
    <s v="Consumer"/>
    <x v="3"/>
    <x v="1"/>
    <x v="4"/>
    <x v="539"/>
    <n v="4"/>
    <n v="0"/>
    <x v="540"/>
  </r>
  <r>
    <x v="541"/>
    <x v="51"/>
    <s v="Corporate"/>
    <x v="0"/>
    <x v="0"/>
    <x v="1"/>
    <x v="540"/>
    <n v="5"/>
    <n v="0.15"/>
    <x v="541"/>
  </r>
  <r>
    <x v="542"/>
    <x v="232"/>
    <s v="Consumer"/>
    <x v="1"/>
    <x v="0"/>
    <x v="6"/>
    <x v="541"/>
    <n v="7"/>
    <n v="0.1"/>
    <x v="542"/>
  </r>
  <r>
    <x v="543"/>
    <x v="131"/>
    <s v="Corporate"/>
    <x v="1"/>
    <x v="1"/>
    <x v="6"/>
    <x v="542"/>
    <n v="2"/>
    <n v="0.05"/>
    <x v="543"/>
  </r>
  <r>
    <x v="544"/>
    <x v="11"/>
    <s v="Consumer"/>
    <x v="1"/>
    <x v="2"/>
    <x v="6"/>
    <x v="543"/>
    <n v="1"/>
    <n v="0.15"/>
    <x v="544"/>
  </r>
  <r>
    <x v="545"/>
    <x v="135"/>
    <s v="Home Office"/>
    <x v="3"/>
    <x v="2"/>
    <x v="4"/>
    <x v="544"/>
    <n v="8"/>
    <n v="0.1"/>
    <x v="545"/>
  </r>
  <r>
    <x v="546"/>
    <x v="67"/>
    <s v="Home Office"/>
    <x v="3"/>
    <x v="0"/>
    <x v="6"/>
    <x v="545"/>
    <n v="1"/>
    <n v="0.1"/>
    <x v="546"/>
  </r>
  <r>
    <x v="547"/>
    <x v="261"/>
    <s v="Corporate"/>
    <x v="1"/>
    <x v="0"/>
    <x v="1"/>
    <x v="546"/>
    <n v="8"/>
    <n v="0"/>
    <x v="547"/>
  </r>
  <r>
    <x v="548"/>
    <x v="126"/>
    <s v="Home Office"/>
    <x v="3"/>
    <x v="2"/>
    <x v="5"/>
    <x v="547"/>
    <n v="2"/>
    <n v="0.15"/>
    <x v="548"/>
  </r>
  <r>
    <x v="549"/>
    <x v="262"/>
    <s v="Corporate"/>
    <x v="2"/>
    <x v="1"/>
    <x v="4"/>
    <x v="548"/>
    <n v="4"/>
    <n v="0.1"/>
    <x v="549"/>
  </r>
  <r>
    <x v="550"/>
    <x v="66"/>
    <s v="Corporate"/>
    <x v="3"/>
    <x v="1"/>
    <x v="6"/>
    <x v="549"/>
    <n v="6"/>
    <n v="0.1"/>
    <x v="550"/>
  </r>
  <r>
    <x v="551"/>
    <x v="243"/>
    <s v="Home Office"/>
    <x v="3"/>
    <x v="1"/>
    <x v="0"/>
    <x v="550"/>
    <n v="4"/>
    <n v="0"/>
    <x v="551"/>
  </r>
  <r>
    <x v="552"/>
    <x v="263"/>
    <s v="Corporate"/>
    <x v="2"/>
    <x v="2"/>
    <x v="3"/>
    <x v="551"/>
    <n v="2"/>
    <n v="0"/>
    <x v="552"/>
  </r>
  <r>
    <x v="553"/>
    <x v="197"/>
    <s v="Consumer"/>
    <x v="1"/>
    <x v="1"/>
    <x v="5"/>
    <x v="552"/>
    <n v="4"/>
    <n v="0.1"/>
    <x v="553"/>
  </r>
  <r>
    <x v="554"/>
    <x v="38"/>
    <s v="Corporate"/>
    <x v="1"/>
    <x v="0"/>
    <x v="3"/>
    <x v="553"/>
    <n v="8"/>
    <n v="0.05"/>
    <x v="554"/>
  </r>
  <r>
    <x v="555"/>
    <x v="98"/>
    <s v="Consumer"/>
    <x v="0"/>
    <x v="0"/>
    <x v="3"/>
    <x v="554"/>
    <n v="10"/>
    <n v="0"/>
    <x v="555"/>
  </r>
  <r>
    <x v="556"/>
    <x v="122"/>
    <s v="Consumer"/>
    <x v="2"/>
    <x v="1"/>
    <x v="2"/>
    <x v="555"/>
    <n v="9"/>
    <n v="0.15"/>
    <x v="556"/>
  </r>
  <r>
    <x v="557"/>
    <x v="264"/>
    <s v="Consumer"/>
    <x v="0"/>
    <x v="2"/>
    <x v="6"/>
    <x v="556"/>
    <n v="6"/>
    <n v="0"/>
    <x v="557"/>
  </r>
  <r>
    <x v="558"/>
    <x v="188"/>
    <s v="Corporate"/>
    <x v="3"/>
    <x v="0"/>
    <x v="0"/>
    <x v="557"/>
    <n v="9"/>
    <n v="0"/>
    <x v="558"/>
  </r>
  <r>
    <x v="559"/>
    <x v="115"/>
    <s v="Corporate"/>
    <x v="1"/>
    <x v="1"/>
    <x v="6"/>
    <x v="558"/>
    <n v="10"/>
    <n v="0.15"/>
    <x v="559"/>
  </r>
  <r>
    <x v="560"/>
    <x v="222"/>
    <s v="Corporate"/>
    <x v="1"/>
    <x v="0"/>
    <x v="0"/>
    <x v="559"/>
    <n v="6"/>
    <n v="0.05"/>
    <x v="560"/>
  </r>
  <r>
    <x v="561"/>
    <x v="55"/>
    <s v="Home Office"/>
    <x v="3"/>
    <x v="0"/>
    <x v="2"/>
    <x v="560"/>
    <n v="7"/>
    <n v="0"/>
    <x v="561"/>
  </r>
  <r>
    <x v="562"/>
    <x v="265"/>
    <s v="Corporate"/>
    <x v="3"/>
    <x v="2"/>
    <x v="2"/>
    <x v="561"/>
    <n v="9"/>
    <n v="0"/>
    <x v="562"/>
  </r>
  <r>
    <x v="563"/>
    <x v="117"/>
    <s v="Home Office"/>
    <x v="1"/>
    <x v="2"/>
    <x v="2"/>
    <x v="562"/>
    <n v="8"/>
    <n v="0"/>
    <x v="563"/>
  </r>
  <r>
    <x v="564"/>
    <x v="167"/>
    <s v="Home Office"/>
    <x v="0"/>
    <x v="1"/>
    <x v="0"/>
    <x v="563"/>
    <n v="2"/>
    <n v="0.15"/>
    <x v="564"/>
  </r>
  <r>
    <x v="565"/>
    <x v="266"/>
    <s v="Home Office"/>
    <x v="0"/>
    <x v="0"/>
    <x v="0"/>
    <x v="564"/>
    <n v="5"/>
    <n v="0.1"/>
    <x v="565"/>
  </r>
  <r>
    <x v="566"/>
    <x v="163"/>
    <s v="Corporate"/>
    <x v="1"/>
    <x v="0"/>
    <x v="6"/>
    <x v="565"/>
    <n v="2"/>
    <n v="0.1"/>
    <x v="566"/>
  </r>
  <r>
    <x v="567"/>
    <x v="71"/>
    <s v="Home Office"/>
    <x v="3"/>
    <x v="0"/>
    <x v="3"/>
    <x v="566"/>
    <n v="6"/>
    <n v="0"/>
    <x v="567"/>
  </r>
  <r>
    <x v="568"/>
    <x v="267"/>
    <s v="Home Office"/>
    <x v="2"/>
    <x v="0"/>
    <x v="2"/>
    <x v="567"/>
    <n v="10"/>
    <n v="0.05"/>
    <x v="568"/>
  </r>
  <r>
    <x v="569"/>
    <x v="0"/>
    <s v="Home Office"/>
    <x v="3"/>
    <x v="1"/>
    <x v="1"/>
    <x v="568"/>
    <n v="9"/>
    <n v="0.05"/>
    <x v="569"/>
  </r>
  <r>
    <x v="570"/>
    <x v="201"/>
    <s v="Consumer"/>
    <x v="2"/>
    <x v="1"/>
    <x v="6"/>
    <x v="569"/>
    <n v="3"/>
    <n v="0.1"/>
    <x v="570"/>
  </r>
  <r>
    <x v="571"/>
    <x v="7"/>
    <s v="Corporate"/>
    <x v="1"/>
    <x v="0"/>
    <x v="6"/>
    <x v="570"/>
    <n v="5"/>
    <n v="0"/>
    <x v="571"/>
  </r>
  <r>
    <x v="572"/>
    <x v="245"/>
    <s v="Home Office"/>
    <x v="2"/>
    <x v="2"/>
    <x v="2"/>
    <x v="571"/>
    <n v="1"/>
    <n v="0.05"/>
    <x v="572"/>
  </r>
  <r>
    <x v="573"/>
    <x v="268"/>
    <s v="Consumer"/>
    <x v="0"/>
    <x v="2"/>
    <x v="6"/>
    <x v="572"/>
    <n v="8"/>
    <n v="0.1"/>
    <x v="573"/>
  </r>
  <r>
    <x v="574"/>
    <x v="176"/>
    <s v="Consumer"/>
    <x v="2"/>
    <x v="1"/>
    <x v="5"/>
    <x v="573"/>
    <n v="8"/>
    <n v="0.1"/>
    <x v="574"/>
  </r>
  <r>
    <x v="575"/>
    <x v="168"/>
    <s v="Home Office"/>
    <x v="2"/>
    <x v="2"/>
    <x v="5"/>
    <x v="574"/>
    <n v="7"/>
    <n v="0.05"/>
    <x v="575"/>
  </r>
  <r>
    <x v="576"/>
    <x v="164"/>
    <s v="Consumer"/>
    <x v="2"/>
    <x v="1"/>
    <x v="4"/>
    <x v="575"/>
    <n v="8"/>
    <n v="0"/>
    <x v="576"/>
  </r>
  <r>
    <x v="577"/>
    <x v="37"/>
    <s v="Consumer"/>
    <x v="0"/>
    <x v="0"/>
    <x v="0"/>
    <x v="576"/>
    <n v="1"/>
    <n v="0.05"/>
    <x v="577"/>
  </r>
  <r>
    <x v="578"/>
    <x v="162"/>
    <s v="Home Office"/>
    <x v="2"/>
    <x v="1"/>
    <x v="1"/>
    <x v="577"/>
    <n v="1"/>
    <n v="0.1"/>
    <x v="578"/>
  </r>
  <r>
    <x v="579"/>
    <x v="35"/>
    <s v="Consumer"/>
    <x v="0"/>
    <x v="2"/>
    <x v="2"/>
    <x v="578"/>
    <n v="1"/>
    <n v="0.1"/>
    <x v="579"/>
  </r>
  <r>
    <x v="580"/>
    <x v="173"/>
    <s v="Consumer"/>
    <x v="0"/>
    <x v="0"/>
    <x v="5"/>
    <x v="579"/>
    <n v="10"/>
    <n v="0"/>
    <x v="580"/>
  </r>
  <r>
    <x v="581"/>
    <x v="269"/>
    <s v="Corporate"/>
    <x v="1"/>
    <x v="0"/>
    <x v="6"/>
    <x v="580"/>
    <n v="6"/>
    <n v="0.05"/>
    <x v="581"/>
  </r>
  <r>
    <x v="582"/>
    <x v="30"/>
    <s v="Home Office"/>
    <x v="2"/>
    <x v="1"/>
    <x v="1"/>
    <x v="581"/>
    <n v="7"/>
    <n v="0"/>
    <x v="582"/>
  </r>
  <r>
    <x v="583"/>
    <x v="146"/>
    <s v="Corporate"/>
    <x v="3"/>
    <x v="2"/>
    <x v="0"/>
    <x v="582"/>
    <n v="6"/>
    <n v="0"/>
    <x v="583"/>
  </r>
  <r>
    <x v="584"/>
    <x v="237"/>
    <s v="Home Office"/>
    <x v="0"/>
    <x v="1"/>
    <x v="4"/>
    <x v="583"/>
    <n v="10"/>
    <n v="0.1"/>
    <x v="584"/>
  </r>
  <r>
    <x v="585"/>
    <x v="7"/>
    <s v="Corporate"/>
    <x v="0"/>
    <x v="2"/>
    <x v="3"/>
    <x v="584"/>
    <n v="4"/>
    <n v="0.15"/>
    <x v="585"/>
  </r>
  <r>
    <x v="586"/>
    <x v="22"/>
    <s v="Home Office"/>
    <x v="0"/>
    <x v="1"/>
    <x v="2"/>
    <x v="585"/>
    <n v="7"/>
    <n v="0.05"/>
    <x v="586"/>
  </r>
  <r>
    <x v="587"/>
    <x v="270"/>
    <s v="Home Office"/>
    <x v="2"/>
    <x v="0"/>
    <x v="3"/>
    <x v="586"/>
    <n v="2"/>
    <n v="0.05"/>
    <x v="587"/>
  </r>
  <r>
    <x v="588"/>
    <x v="271"/>
    <s v="Home Office"/>
    <x v="2"/>
    <x v="0"/>
    <x v="0"/>
    <x v="587"/>
    <n v="1"/>
    <n v="0"/>
    <x v="588"/>
  </r>
  <r>
    <x v="589"/>
    <x v="232"/>
    <s v="Consumer"/>
    <x v="3"/>
    <x v="0"/>
    <x v="3"/>
    <x v="588"/>
    <n v="9"/>
    <n v="0"/>
    <x v="589"/>
  </r>
  <r>
    <x v="590"/>
    <x v="87"/>
    <s v="Corporate"/>
    <x v="1"/>
    <x v="0"/>
    <x v="6"/>
    <x v="589"/>
    <n v="9"/>
    <n v="0.1"/>
    <x v="590"/>
  </r>
  <r>
    <x v="591"/>
    <x v="272"/>
    <s v="Home Office"/>
    <x v="2"/>
    <x v="1"/>
    <x v="1"/>
    <x v="590"/>
    <n v="8"/>
    <n v="0.1"/>
    <x v="591"/>
  </r>
  <r>
    <x v="592"/>
    <x v="169"/>
    <s v="Corporate"/>
    <x v="3"/>
    <x v="0"/>
    <x v="0"/>
    <x v="591"/>
    <n v="9"/>
    <n v="0.05"/>
    <x v="592"/>
  </r>
  <r>
    <x v="593"/>
    <x v="182"/>
    <s v="Home Office"/>
    <x v="2"/>
    <x v="0"/>
    <x v="6"/>
    <x v="592"/>
    <n v="2"/>
    <n v="0.05"/>
    <x v="593"/>
  </r>
  <r>
    <x v="594"/>
    <x v="224"/>
    <s v="Consumer"/>
    <x v="2"/>
    <x v="1"/>
    <x v="3"/>
    <x v="593"/>
    <n v="8"/>
    <n v="0.15"/>
    <x v="594"/>
  </r>
  <r>
    <x v="595"/>
    <x v="273"/>
    <s v="Consumer"/>
    <x v="3"/>
    <x v="1"/>
    <x v="2"/>
    <x v="594"/>
    <n v="7"/>
    <n v="0.15"/>
    <x v="595"/>
  </r>
  <r>
    <x v="596"/>
    <x v="84"/>
    <s v="Corporate"/>
    <x v="3"/>
    <x v="0"/>
    <x v="3"/>
    <x v="595"/>
    <n v="7"/>
    <n v="0"/>
    <x v="596"/>
  </r>
  <r>
    <x v="597"/>
    <x v="65"/>
    <s v="Home Office"/>
    <x v="3"/>
    <x v="1"/>
    <x v="0"/>
    <x v="596"/>
    <n v="10"/>
    <n v="0.1"/>
    <x v="597"/>
  </r>
  <r>
    <x v="598"/>
    <x v="274"/>
    <s v="Corporate"/>
    <x v="2"/>
    <x v="1"/>
    <x v="6"/>
    <x v="597"/>
    <n v="8"/>
    <n v="0.1"/>
    <x v="598"/>
  </r>
  <r>
    <x v="599"/>
    <x v="170"/>
    <s v="Consumer"/>
    <x v="3"/>
    <x v="0"/>
    <x v="5"/>
    <x v="598"/>
    <n v="9"/>
    <n v="0.15"/>
    <x v="599"/>
  </r>
  <r>
    <x v="600"/>
    <x v="37"/>
    <s v="Home Office"/>
    <x v="3"/>
    <x v="2"/>
    <x v="1"/>
    <x v="599"/>
    <n v="5"/>
    <n v="0.1"/>
    <x v="600"/>
  </r>
  <r>
    <x v="601"/>
    <x v="193"/>
    <s v="Home Office"/>
    <x v="0"/>
    <x v="2"/>
    <x v="4"/>
    <x v="600"/>
    <n v="9"/>
    <n v="0.1"/>
    <x v="601"/>
  </r>
  <r>
    <x v="602"/>
    <x v="194"/>
    <s v="Consumer"/>
    <x v="0"/>
    <x v="2"/>
    <x v="1"/>
    <x v="601"/>
    <n v="6"/>
    <n v="0.15"/>
    <x v="602"/>
  </r>
  <r>
    <x v="603"/>
    <x v="92"/>
    <s v="Home Office"/>
    <x v="2"/>
    <x v="2"/>
    <x v="6"/>
    <x v="602"/>
    <n v="5"/>
    <n v="0.15"/>
    <x v="603"/>
  </r>
  <r>
    <x v="604"/>
    <x v="19"/>
    <s v="Consumer"/>
    <x v="2"/>
    <x v="0"/>
    <x v="6"/>
    <x v="603"/>
    <n v="3"/>
    <n v="0.05"/>
    <x v="604"/>
  </r>
  <r>
    <x v="605"/>
    <x v="275"/>
    <s v="Consumer"/>
    <x v="3"/>
    <x v="1"/>
    <x v="2"/>
    <x v="604"/>
    <n v="4"/>
    <n v="0.1"/>
    <x v="605"/>
  </r>
  <r>
    <x v="606"/>
    <x v="273"/>
    <s v="Consumer"/>
    <x v="2"/>
    <x v="1"/>
    <x v="1"/>
    <x v="605"/>
    <n v="4"/>
    <n v="0.15"/>
    <x v="606"/>
  </r>
  <r>
    <x v="607"/>
    <x v="276"/>
    <s v="Home Office"/>
    <x v="2"/>
    <x v="2"/>
    <x v="2"/>
    <x v="606"/>
    <n v="2"/>
    <n v="0.05"/>
    <x v="607"/>
  </r>
  <r>
    <x v="608"/>
    <x v="56"/>
    <s v="Consumer"/>
    <x v="2"/>
    <x v="0"/>
    <x v="4"/>
    <x v="607"/>
    <n v="5"/>
    <n v="0"/>
    <x v="608"/>
  </r>
  <r>
    <x v="609"/>
    <x v="205"/>
    <s v="Consumer"/>
    <x v="0"/>
    <x v="2"/>
    <x v="2"/>
    <x v="608"/>
    <n v="2"/>
    <n v="0"/>
    <x v="609"/>
  </r>
  <r>
    <x v="610"/>
    <x v="277"/>
    <s v="Corporate"/>
    <x v="0"/>
    <x v="2"/>
    <x v="3"/>
    <x v="609"/>
    <n v="10"/>
    <n v="0.15"/>
    <x v="610"/>
  </r>
  <r>
    <x v="611"/>
    <x v="249"/>
    <s v="Corporate"/>
    <x v="2"/>
    <x v="0"/>
    <x v="5"/>
    <x v="610"/>
    <n v="3"/>
    <n v="0.05"/>
    <x v="611"/>
  </r>
  <r>
    <x v="612"/>
    <x v="278"/>
    <s v="Corporate"/>
    <x v="1"/>
    <x v="0"/>
    <x v="1"/>
    <x v="611"/>
    <n v="7"/>
    <n v="0.05"/>
    <x v="612"/>
  </r>
  <r>
    <x v="613"/>
    <x v="279"/>
    <s v="Corporate"/>
    <x v="1"/>
    <x v="0"/>
    <x v="3"/>
    <x v="612"/>
    <n v="3"/>
    <n v="0.1"/>
    <x v="613"/>
  </r>
  <r>
    <x v="614"/>
    <x v="101"/>
    <s v="Corporate"/>
    <x v="1"/>
    <x v="1"/>
    <x v="4"/>
    <x v="613"/>
    <n v="5"/>
    <n v="0.1"/>
    <x v="614"/>
  </r>
  <r>
    <x v="615"/>
    <x v="37"/>
    <s v="Consumer"/>
    <x v="2"/>
    <x v="0"/>
    <x v="5"/>
    <x v="614"/>
    <n v="4"/>
    <n v="0.05"/>
    <x v="615"/>
  </r>
  <r>
    <x v="616"/>
    <x v="190"/>
    <s v="Corporate"/>
    <x v="1"/>
    <x v="0"/>
    <x v="1"/>
    <x v="615"/>
    <n v="3"/>
    <n v="0.1"/>
    <x v="616"/>
  </r>
  <r>
    <x v="617"/>
    <x v="269"/>
    <s v="Home Office"/>
    <x v="0"/>
    <x v="1"/>
    <x v="0"/>
    <x v="616"/>
    <n v="2"/>
    <n v="0.05"/>
    <x v="617"/>
  </r>
  <r>
    <x v="618"/>
    <x v="117"/>
    <s v="Consumer"/>
    <x v="3"/>
    <x v="2"/>
    <x v="1"/>
    <x v="617"/>
    <n v="6"/>
    <n v="0.15"/>
    <x v="618"/>
  </r>
  <r>
    <x v="619"/>
    <x v="147"/>
    <s v="Corporate"/>
    <x v="1"/>
    <x v="1"/>
    <x v="5"/>
    <x v="618"/>
    <n v="2"/>
    <n v="0.1"/>
    <x v="619"/>
  </r>
  <r>
    <x v="620"/>
    <x v="242"/>
    <s v="Consumer"/>
    <x v="2"/>
    <x v="2"/>
    <x v="6"/>
    <x v="619"/>
    <n v="10"/>
    <n v="0"/>
    <x v="620"/>
  </r>
  <r>
    <x v="621"/>
    <x v="218"/>
    <s v="Consumer"/>
    <x v="1"/>
    <x v="2"/>
    <x v="3"/>
    <x v="620"/>
    <n v="3"/>
    <n v="0.05"/>
    <x v="621"/>
  </r>
  <r>
    <x v="622"/>
    <x v="280"/>
    <s v="Home Office"/>
    <x v="1"/>
    <x v="2"/>
    <x v="0"/>
    <x v="621"/>
    <n v="9"/>
    <n v="0.15"/>
    <x v="622"/>
  </r>
  <r>
    <x v="623"/>
    <x v="72"/>
    <s v="Home Office"/>
    <x v="2"/>
    <x v="2"/>
    <x v="3"/>
    <x v="622"/>
    <n v="6"/>
    <n v="0.15"/>
    <x v="623"/>
  </r>
  <r>
    <x v="624"/>
    <x v="97"/>
    <s v="Home Office"/>
    <x v="1"/>
    <x v="2"/>
    <x v="3"/>
    <x v="623"/>
    <n v="2"/>
    <n v="0.15"/>
    <x v="624"/>
  </r>
  <r>
    <x v="625"/>
    <x v="281"/>
    <s v="Home Office"/>
    <x v="3"/>
    <x v="1"/>
    <x v="5"/>
    <x v="624"/>
    <n v="10"/>
    <n v="0"/>
    <x v="625"/>
  </r>
  <r>
    <x v="626"/>
    <x v="57"/>
    <s v="Corporate"/>
    <x v="2"/>
    <x v="2"/>
    <x v="5"/>
    <x v="625"/>
    <n v="5"/>
    <n v="0.05"/>
    <x v="626"/>
  </r>
  <r>
    <x v="627"/>
    <x v="197"/>
    <s v="Corporate"/>
    <x v="0"/>
    <x v="0"/>
    <x v="0"/>
    <x v="626"/>
    <n v="10"/>
    <n v="0"/>
    <x v="627"/>
  </r>
  <r>
    <x v="628"/>
    <x v="282"/>
    <s v="Consumer"/>
    <x v="3"/>
    <x v="0"/>
    <x v="2"/>
    <x v="627"/>
    <n v="1"/>
    <n v="0.1"/>
    <x v="628"/>
  </r>
  <r>
    <x v="629"/>
    <x v="51"/>
    <s v="Corporate"/>
    <x v="2"/>
    <x v="0"/>
    <x v="4"/>
    <x v="628"/>
    <n v="4"/>
    <n v="0.1"/>
    <x v="629"/>
  </r>
  <r>
    <x v="630"/>
    <x v="283"/>
    <s v="Corporate"/>
    <x v="0"/>
    <x v="2"/>
    <x v="6"/>
    <x v="629"/>
    <n v="6"/>
    <n v="0.1"/>
    <x v="630"/>
  </r>
  <r>
    <x v="631"/>
    <x v="114"/>
    <s v="Home Office"/>
    <x v="2"/>
    <x v="1"/>
    <x v="4"/>
    <x v="630"/>
    <n v="2"/>
    <n v="0"/>
    <x v="631"/>
  </r>
  <r>
    <x v="632"/>
    <x v="96"/>
    <s v="Corporate"/>
    <x v="2"/>
    <x v="0"/>
    <x v="6"/>
    <x v="631"/>
    <n v="7"/>
    <n v="0.15"/>
    <x v="632"/>
  </r>
  <r>
    <x v="633"/>
    <x v="277"/>
    <s v="Corporate"/>
    <x v="0"/>
    <x v="0"/>
    <x v="5"/>
    <x v="632"/>
    <n v="8"/>
    <n v="0"/>
    <x v="633"/>
  </r>
  <r>
    <x v="634"/>
    <x v="269"/>
    <s v="Corporate"/>
    <x v="3"/>
    <x v="0"/>
    <x v="4"/>
    <x v="633"/>
    <n v="6"/>
    <n v="0.15"/>
    <x v="634"/>
  </r>
  <r>
    <x v="635"/>
    <x v="284"/>
    <s v="Corporate"/>
    <x v="1"/>
    <x v="0"/>
    <x v="5"/>
    <x v="634"/>
    <n v="6"/>
    <n v="0.1"/>
    <x v="635"/>
  </r>
  <r>
    <x v="636"/>
    <x v="284"/>
    <s v="Corporate"/>
    <x v="0"/>
    <x v="0"/>
    <x v="1"/>
    <x v="635"/>
    <n v="1"/>
    <n v="0.05"/>
    <x v="636"/>
  </r>
  <r>
    <x v="637"/>
    <x v="135"/>
    <s v="Corporate"/>
    <x v="2"/>
    <x v="1"/>
    <x v="5"/>
    <x v="636"/>
    <n v="3"/>
    <n v="0.15"/>
    <x v="637"/>
  </r>
  <r>
    <x v="638"/>
    <x v="177"/>
    <s v="Corporate"/>
    <x v="2"/>
    <x v="0"/>
    <x v="6"/>
    <x v="637"/>
    <n v="1"/>
    <n v="0"/>
    <x v="638"/>
  </r>
  <r>
    <x v="639"/>
    <x v="235"/>
    <s v="Corporate"/>
    <x v="2"/>
    <x v="1"/>
    <x v="2"/>
    <x v="638"/>
    <n v="2"/>
    <n v="0"/>
    <x v="639"/>
  </r>
  <r>
    <x v="640"/>
    <x v="98"/>
    <s v="Consumer"/>
    <x v="3"/>
    <x v="2"/>
    <x v="5"/>
    <x v="639"/>
    <n v="7"/>
    <n v="0"/>
    <x v="640"/>
  </r>
  <r>
    <x v="641"/>
    <x v="232"/>
    <s v="Consumer"/>
    <x v="0"/>
    <x v="0"/>
    <x v="6"/>
    <x v="640"/>
    <n v="9"/>
    <n v="0.05"/>
    <x v="641"/>
  </r>
  <r>
    <x v="642"/>
    <x v="117"/>
    <s v="Corporate"/>
    <x v="1"/>
    <x v="1"/>
    <x v="2"/>
    <x v="641"/>
    <n v="8"/>
    <n v="0.1"/>
    <x v="642"/>
  </r>
  <r>
    <x v="643"/>
    <x v="285"/>
    <s v="Home Office"/>
    <x v="1"/>
    <x v="0"/>
    <x v="3"/>
    <x v="642"/>
    <n v="6"/>
    <n v="0.05"/>
    <x v="643"/>
  </r>
  <r>
    <x v="644"/>
    <x v="16"/>
    <s v="Consumer"/>
    <x v="0"/>
    <x v="1"/>
    <x v="0"/>
    <x v="643"/>
    <n v="1"/>
    <n v="0.15"/>
    <x v="644"/>
  </r>
  <r>
    <x v="645"/>
    <x v="286"/>
    <s v="Home Office"/>
    <x v="1"/>
    <x v="1"/>
    <x v="3"/>
    <x v="644"/>
    <n v="10"/>
    <n v="0.05"/>
    <x v="645"/>
  </r>
  <r>
    <x v="646"/>
    <x v="287"/>
    <s v="Corporate"/>
    <x v="0"/>
    <x v="2"/>
    <x v="4"/>
    <x v="645"/>
    <n v="6"/>
    <n v="0"/>
    <x v="646"/>
  </r>
  <r>
    <x v="647"/>
    <x v="68"/>
    <s v="Corporate"/>
    <x v="3"/>
    <x v="1"/>
    <x v="3"/>
    <x v="646"/>
    <n v="2"/>
    <n v="0.05"/>
    <x v="647"/>
  </r>
  <r>
    <x v="648"/>
    <x v="26"/>
    <s v="Consumer"/>
    <x v="0"/>
    <x v="2"/>
    <x v="6"/>
    <x v="647"/>
    <n v="5"/>
    <n v="0.05"/>
    <x v="648"/>
  </r>
  <r>
    <x v="649"/>
    <x v="236"/>
    <s v="Corporate"/>
    <x v="3"/>
    <x v="0"/>
    <x v="1"/>
    <x v="648"/>
    <n v="8"/>
    <n v="0.15"/>
    <x v="649"/>
  </r>
  <r>
    <x v="650"/>
    <x v="9"/>
    <s v="Home Office"/>
    <x v="1"/>
    <x v="2"/>
    <x v="3"/>
    <x v="649"/>
    <n v="8"/>
    <n v="0"/>
    <x v="650"/>
  </r>
  <r>
    <x v="651"/>
    <x v="76"/>
    <s v="Corporate"/>
    <x v="3"/>
    <x v="2"/>
    <x v="6"/>
    <x v="650"/>
    <n v="9"/>
    <n v="0.15"/>
    <x v="651"/>
  </r>
  <r>
    <x v="652"/>
    <x v="288"/>
    <s v="Home Office"/>
    <x v="0"/>
    <x v="2"/>
    <x v="0"/>
    <x v="651"/>
    <n v="7"/>
    <n v="0.15"/>
    <x v="652"/>
  </r>
  <r>
    <x v="653"/>
    <x v="289"/>
    <s v="Corporate"/>
    <x v="0"/>
    <x v="2"/>
    <x v="6"/>
    <x v="652"/>
    <n v="10"/>
    <n v="0.05"/>
    <x v="653"/>
  </r>
  <r>
    <x v="654"/>
    <x v="61"/>
    <s v="Corporate"/>
    <x v="1"/>
    <x v="2"/>
    <x v="2"/>
    <x v="653"/>
    <n v="1"/>
    <n v="0.15"/>
    <x v="654"/>
  </r>
  <r>
    <x v="655"/>
    <x v="116"/>
    <s v="Corporate"/>
    <x v="0"/>
    <x v="1"/>
    <x v="5"/>
    <x v="654"/>
    <n v="7"/>
    <n v="0.05"/>
    <x v="655"/>
  </r>
  <r>
    <x v="656"/>
    <x v="21"/>
    <s v="Home Office"/>
    <x v="2"/>
    <x v="0"/>
    <x v="5"/>
    <x v="655"/>
    <n v="8"/>
    <n v="0.05"/>
    <x v="656"/>
  </r>
  <r>
    <x v="657"/>
    <x v="65"/>
    <s v="Home Office"/>
    <x v="2"/>
    <x v="0"/>
    <x v="4"/>
    <x v="656"/>
    <n v="10"/>
    <n v="0"/>
    <x v="657"/>
  </r>
  <r>
    <x v="658"/>
    <x v="73"/>
    <s v="Home Office"/>
    <x v="2"/>
    <x v="1"/>
    <x v="3"/>
    <x v="657"/>
    <n v="3"/>
    <n v="0.1"/>
    <x v="658"/>
  </r>
  <r>
    <x v="659"/>
    <x v="15"/>
    <s v="Consumer"/>
    <x v="0"/>
    <x v="1"/>
    <x v="2"/>
    <x v="658"/>
    <n v="9"/>
    <n v="0.15"/>
    <x v="659"/>
  </r>
  <r>
    <x v="660"/>
    <x v="18"/>
    <s v="Home Office"/>
    <x v="2"/>
    <x v="1"/>
    <x v="0"/>
    <x v="659"/>
    <n v="8"/>
    <n v="0"/>
    <x v="660"/>
  </r>
  <r>
    <x v="661"/>
    <x v="145"/>
    <s v="Home Office"/>
    <x v="3"/>
    <x v="0"/>
    <x v="4"/>
    <x v="660"/>
    <n v="9"/>
    <n v="0"/>
    <x v="661"/>
  </r>
  <r>
    <x v="662"/>
    <x v="146"/>
    <s v="Consumer"/>
    <x v="2"/>
    <x v="2"/>
    <x v="3"/>
    <x v="661"/>
    <n v="3"/>
    <n v="0.1"/>
    <x v="662"/>
  </r>
  <r>
    <x v="663"/>
    <x v="8"/>
    <s v="Consumer"/>
    <x v="1"/>
    <x v="0"/>
    <x v="4"/>
    <x v="662"/>
    <n v="8"/>
    <n v="0.05"/>
    <x v="663"/>
  </r>
  <r>
    <x v="664"/>
    <x v="266"/>
    <s v="Consumer"/>
    <x v="0"/>
    <x v="1"/>
    <x v="5"/>
    <x v="663"/>
    <n v="9"/>
    <n v="0.05"/>
    <x v="664"/>
  </r>
  <r>
    <x v="665"/>
    <x v="274"/>
    <s v="Corporate"/>
    <x v="0"/>
    <x v="2"/>
    <x v="1"/>
    <x v="664"/>
    <n v="1"/>
    <n v="0"/>
    <x v="665"/>
  </r>
  <r>
    <x v="666"/>
    <x v="232"/>
    <s v="Corporate"/>
    <x v="0"/>
    <x v="2"/>
    <x v="6"/>
    <x v="665"/>
    <n v="3"/>
    <n v="0"/>
    <x v="666"/>
  </r>
  <r>
    <x v="667"/>
    <x v="189"/>
    <s v="Consumer"/>
    <x v="3"/>
    <x v="0"/>
    <x v="1"/>
    <x v="666"/>
    <n v="1"/>
    <n v="0"/>
    <x v="667"/>
  </r>
  <r>
    <x v="668"/>
    <x v="17"/>
    <s v="Consumer"/>
    <x v="3"/>
    <x v="2"/>
    <x v="6"/>
    <x v="667"/>
    <n v="1"/>
    <n v="0"/>
    <x v="668"/>
  </r>
  <r>
    <x v="669"/>
    <x v="79"/>
    <s v="Consumer"/>
    <x v="0"/>
    <x v="1"/>
    <x v="2"/>
    <x v="668"/>
    <n v="5"/>
    <n v="0"/>
    <x v="669"/>
  </r>
  <r>
    <x v="670"/>
    <x v="290"/>
    <s v="Consumer"/>
    <x v="2"/>
    <x v="2"/>
    <x v="2"/>
    <x v="669"/>
    <n v="4"/>
    <n v="0.1"/>
    <x v="670"/>
  </r>
  <r>
    <x v="671"/>
    <x v="120"/>
    <s v="Corporate"/>
    <x v="0"/>
    <x v="1"/>
    <x v="3"/>
    <x v="670"/>
    <n v="7"/>
    <n v="0.05"/>
    <x v="671"/>
  </r>
  <r>
    <x v="672"/>
    <x v="291"/>
    <s v="Home Office"/>
    <x v="3"/>
    <x v="1"/>
    <x v="1"/>
    <x v="671"/>
    <n v="2"/>
    <n v="0"/>
    <x v="672"/>
  </r>
  <r>
    <x v="673"/>
    <x v="19"/>
    <s v="Corporate"/>
    <x v="3"/>
    <x v="2"/>
    <x v="2"/>
    <x v="672"/>
    <n v="7"/>
    <n v="0.15"/>
    <x v="673"/>
  </r>
  <r>
    <x v="674"/>
    <x v="90"/>
    <s v="Corporate"/>
    <x v="1"/>
    <x v="1"/>
    <x v="5"/>
    <x v="673"/>
    <n v="2"/>
    <n v="0.05"/>
    <x v="674"/>
  </r>
  <r>
    <x v="675"/>
    <x v="100"/>
    <s v="Consumer"/>
    <x v="0"/>
    <x v="2"/>
    <x v="6"/>
    <x v="674"/>
    <n v="7"/>
    <n v="0"/>
    <x v="675"/>
  </r>
  <r>
    <x v="676"/>
    <x v="164"/>
    <s v="Consumer"/>
    <x v="1"/>
    <x v="0"/>
    <x v="2"/>
    <x v="675"/>
    <n v="6"/>
    <n v="0"/>
    <x v="676"/>
  </r>
  <r>
    <x v="677"/>
    <x v="276"/>
    <s v="Home Office"/>
    <x v="1"/>
    <x v="0"/>
    <x v="5"/>
    <x v="676"/>
    <n v="7"/>
    <n v="0.15"/>
    <x v="677"/>
  </r>
  <r>
    <x v="678"/>
    <x v="292"/>
    <s v="Consumer"/>
    <x v="0"/>
    <x v="1"/>
    <x v="3"/>
    <x v="677"/>
    <n v="3"/>
    <n v="0.1"/>
    <x v="678"/>
  </r>
  <r>
    <x v="679"/>
    <x v="53"/>
    <s v="Home Office"/>
    <x v="2"/>
    <x v="2"/>
    <x v="2"/>
    <x v="678"/>
    <n v="8"/>
    <n v="0.05"/>
    <x v="679"/>
  </r>
  <r>
    <x v="680"/>
    <x v="227"/>
    <s v="Home Office"/>
    <x v="0"/>
    <x v="1"/>
    <x v="4"/>
    <x v="679"/>
    <n v="10"/>
    <n v="0.15"/>
    <x v="680"/>
  </r>
  <r>
    <x v="681"/>
    <x v="293"/>
    <s v="Consumer"/>
    <x v="3"/>
    <x v="1"/>
    <x v="6"/>
    <x v="680"/>
    <n v="9"/>
    <n v="0.05"/>
    <x v="681"/>
  </r>
  <r>
    <x v="682"/>
    <x v="49"/>
    <s v="Corporate"/>
    <x v="3"/>
    <x v="0"/>
    <x v="1"/>
    <x v="681"/>
    <n v="5"/>
    <n v="0.1"/>
    <x v="682"/>
  </r>
  <r>
    <x v="683"/>
    <x v="4"/>
    <s v="Corporate"/>
    <x v="0"/>
    <x v="0"/>
    <x v="0"/>
    <x v="682"/>
    <n v="3"/>
    <n v="0.15"/>
    <x v="683"/>
  </r>
  <r>
    <x v="684"/>
    <x v="166"/>
    <s v="Consumer"/>
    <x v="0"/>
    <x v="1"/>
    <x v="3"/>
    <x v="683"/>
    <n v="4"/>
    <n v="0.1"/>
    <x v="684"/>
  </r>
  <r>
    <x v="685"/>
    <x v="273"/>
    <s v="Home Office"/>
    <x v="2"/>
    <x v="2"/>
    <x v="2"/>
    <x v="684"/>
    <n v="4"/>
    <n v="0.1"/>
    <x v="685"/>
  </r>
  <r>
    <x v="686"/>
    <x v="111"/>
    <s v="Home Office"/>
    <x v="1"/>
    <x v="1"/>
    <x v="2"/>
    <x v="685"/>
    <n v="3"/>
    <n v="0.05"/>
    <x v="686"/>
  </r>
  <r>
    <x v="687"/>
    <x v="60"/>
    <s v="Home Office"/>
    <x v="2"/>
    <x v="1"/>
    <x v="6"/>
    <x v="686"/>
    <n v="6"/>
    <n v="0.05"/>
    <x v="687"/>
  </r>
  <r>
    <x v="688"/>
    <x v="10"/>
    <s v="Home Office"/>
    <x v="2"/>
    <x v="1"/>
    <x v="1"/>
    <x v="366"/>
    <n v="8"/>
    <n v="0.15"/>
    <x v="688"/>
  </r>
  <r>
    <x v="689"/>
    <x v="46"/>
    <s v="Corporate"/>
    <x v="3"/>
    <x v="2"/>
    <x v="4"/>
    <x v="687"/>
    <n v="6"/>
    <n v="0.05"/>
    <x v="689"/>
  </r>
  <r>
    <x v="690"/>
    <x v="200"/>
    <s v="Consumer"/>
    <x v="0"/>
    <x v="2"/>
    <x v="6"/>
    <x v="688"/>
    <n v="8"/>
    <n v="0"/>
    <x v="690"/>
  </r>
  <r>
    <x v="691"/>
    <x v="172"/>
    <s v="Consumer"/>
    <x v="3"/>
    <x v="2"/>
    <x v="0"/>
    <x v="689"/>
    <n v="4"/>
    <n v="0.15"/>
    <x v="691"/>
  </r>
  <r>
    <x v="692"/>
    <x v="44"/>
    <s v="Corporate"/>
    <x v="3"/>
    <x v="2"/>
    <x v="0"/>
    <x v="690"/>
    <n v="9"/>
    <n v="0"/>
    <x v="692"/>
  </r>
  <r>
    <x v="693"/>
    <x v="261"/>
    <s v="Corporate"/>
    <x v="2"/>
    <x v="2"/>
    <x v="3"/>
    <x v="691"/>
    <n v="7"/>
    <n v="0.15"/>
    <x v="693"/>
  </r>
  <r>
    <x v="694"/>
    <x v="32"/>
    <s v="Consumer"/>
    <x v="2"/>
    <x v="0"/>
    <x v="1"/>
    <x v="692"/>
    <n v="4"/>
    <n v="0.15"/>
    <x v="694"/>
  </r>
  <r>
    <x v="695"/>
    <x v="221"/>
    <s v="Corporate"/>
    <x v="0"/>
    <x v="2"/>
    <x v="0"/>
    <x v="693"/>
    <n v="10"/>
    <n v="0.15"/>
    <x v="695"/>
  </r>
  <r>
    <x v="696"/>
    <x v="144"/>
    <s v="Corporate"/>
    <x v="2"/>
    <x v="1"/>
    <x v="0"/>
    <x v="694"/>
    <n v="5"/>
    <n v="0.05"/>
    <x v="696"/>
  </r>
  <r>
    <x v="697"/>
    <x v="150"/>
    <s v="Home Office"/>
    <x v="1"/>
    <x v="1"/>
    <x v="0"/>
    <x v="695"/>
    <n v="5"/>
    <n v="0"/>
    <x v="697"/>
  </r>
  <r>
    <x v="698"/>
    <x v="291"/>
    <s v="Home Office"/>
    <x v="1"/>
    <x v="0"/>
    <x v="4"/>
    <x v="696"/>
    <n v="4"/>
    <n v="0.1"/>
    <x v="698"/>
  </r>
  <r>
    <x v="699"/>
    <x v="213"/>
    <s v="Consumer"/>
    <x v="0"/>
    <x v="1"/>
    <x v="2"/>
    <x v="697"/>
    <n v="9"/>
    <n v="0.1"/>
    <x v="699"/>
  </r>
  <r>
    <x v="700"/>
    <x v="240"/>
    <s v="Corporate"/>
    <x v="0"/>
    <x v="2"/>
    <x v="1"/>
    <x v="698"/>
    <n v="6"/>
    <n v="0"/>
    <x v="700"/>
  </r>
  <r>
    <x v="701"/>
    <x v="152"/>
    <s v="Home Office"/>
    <x v="0"/>
    <x v="2"/>
    <x v="5"/>
    <x v="699"/>
    <n v="1"/>
    <n v="0.15"/>
    <x v="701"/>
  </r>
  <r>
    <x v="702"/>
    <x v="147"/>
    <s v="Home Office"/>
    <x v="2"/>
    <x v="0"/>
    <x v="0"/>
    <x v="700"/>
    <n v="6"/>
    <n v="0"/>
    <x v="702"/>
  </r>
  <r>
    <x v="703"/>
    <x v="221"/>
    <s v="Corporate"/>
    <x v="0"/>
    <x v="2"/>
    <x v="3"/>
    <x v="701"/>
    <n v="10"/>
    <n v="0.1"/>
    <x v="703"/>
  </r>
  <r>
    <x v="704"/>
    <x v="294"/>
    <s v="Home Office"/>
    <x v="1"/>
    <x v="1"/>
    <x v="6"/>
    <x v="702"/>
    <n v="3"/>
    <n v="0"/>
    <x v="704"/>
  </r>
  <r>
    <x v="705"/>
    <x v="130"/>
    <s v="Consumer"/>
    <x v="2"/>
    <x v="0"/>
    <x v="0"/>
    <x v="703"/>
    <n v="6"/>
    <n v="0.05"/>
    <x v="705"/>
  </r>
  <r>
    <x v="706"/>
    <x v="295"/>
    <s v="Consumer"/>
    <x v="0"/>
    <x v="0"/>
    <x v="2"/>
    <x v="704"/>
    <n v="6"/>
    <n v="0.15"/>
    <x v="706"/>
  </r>
  <r>
    <x v="707"/>
    <x v="208"/>
    <s v="Consumer"/>
    <x v="1"/>
    <x v="1"/>
    <x v="4"/>
    <x v="705"/>
    <n v="10"/>
    <n v="0"/>
    <x v="707"/>
  </r>
  <r>
    <x v="708"/>
    <x v="296"/>
    <s v="Consumer"/>
    <x v="0"/>
    <x v="1"/>
    <x v="3"/>
    <x v="706"/>
    <n v="2"/>
    <n v="0"/>
    <x v="708"/>
  </r>
  <r>
    <x v="709"/>
    <x v="297"/>
    <s v="Corporate"/>
    <x v="2"/>
    <x v="2"/>
    <x v="4"/>
    <x v="707"/>
    <n v="7"/>
    <n v="0"/>
    <x v="709"/>
  </r>
  <r>
    <x v="710"/>
    <x v="191"/>
    <s v="Consumer"/>
    <x v="2"/>
    <x v="2"/>
    <x v="1"/>
    <x v="708"/>
    <n v="2"/>
    <n v="0.1"/>
    <x v="710"/>
  </r>
  <r>
    <x v="711"/>
    <x v="298"/>
    <s v="Home Office"/>
    <x v="3"/>
    <x v="2"/>
    <x v="0"/>
    <x v="709"/>
    <n v="9"/>
    <n v="0"/>
    <x v="711"/>
  </r>
  <r>
    <x v="712"/>
    <x v="194"/>
    <s v="Corporate"/>
    <x v="2"/>
    <x v="0"/>
    <x v="6"/>
    <x v="710"/>
    <n v="3"/>
    <n v="0.05"/>
    <x v="712"/>
  </r>
  <r>
    <x v="713"/>
    <x v="257"/>
    <s v="Consumer"/>
    <x v="0"/>
    <x v="2"/>
    <x v="6"/>
    <x v="711"/>
    <n v="7"/>
    <n v="0.1"/>
    <x v="713"/>
  </r>
  <r>
    <x v="714"/>
    <x v="187"/>
    <s v="Home Office"/>
    <x v="2"/>
    <x v="2"/>
    <x v="3"/>
    <x v="712"/>
    <n v="8"/>
    <n v="0"/>
    <x v="714"/>
  </r>
  <r>
    <x v="715"/>
    <x v="66"/>
    <s v="Home Office"/>
    <x v="3"/>
    <x v="2"/>
    <x v="2"/>
    <x v="713"/>
    <n v="10"/>
    <n v="0.15"/>
    <x v="715"/>
  </r>
  <r>
    <x v="716"/>
    <x v="271"/>
    <s v="Corporate"/>
    <x v="1"/>
    <x v="1"/>
    <x v="3"/>
    <x v="714"/>
    <n v="8"/>
    <n v="0.1"/>
    <x v="716"/>
  </r>
  <r>
    <x v="717"/>
    <x v="288"/>
    <s v="Corporate"/>
    <x v="2"/>
    <x v="2"/>
    <x v="2"/>
    <x v="715"/>
    <n v="6"/>
    <n v="0.05"/>
    <x v="717"/>
  </r>
  <r>
    <x v="718"/>
    <x v="217"/>
    <s v="Consumer"/>
    <x v="1"/>
    <x v="2"/>
    <x v="4"/>
    <x v="716"/>
    <n v="4"/>
    <n v="0.15"/>
    <x v="718"/>
  </r>
  <r>
    <x v="719"/>
    <x v="299"/>
    <s v="Corporate"/>
    <x v="3"/>
    <x v="0"/>
    <x v="5"/>
    <x v="717"/>
    <n v="10"/>
    <n v="0.05"/>
    <x v="719"/>
  </r>
  <r>
    <x v="720"/>
    <x v="82"/>
    <s v="Corporate"/>
    <x v="3"/>
    <x v="1"/>
    <x v="4"/>
    <x v="718"/>
    <n v="3"/>
    <n v="0.15"/>
    <x v="720"/>
  </r>
  <r>
    <x v="721"/>
    <x v="266"/>
    <s v="Corporate"/>
    <x v="2"/>
    <x v="1"/>
    <x v="3"/>
    <x v="719"/>
    <n v="1"/>
    <n v="0"/>
    <x v="721"/>
  </r>
  <r>
    <x v="722"/>
    <x v="291"/>
    <s v="Consumer"/>
    <x v="1"/>
    <x v="1"/>
    <x v="4"/>
    <x v="720"/>
    <n v="3"/>
    <n v="0.1"/>
    <x v="722"/>
  </r>
  <r>
    <x v="723"/>
    <x v="35"/>
    <s v="Consumer"/>
    <x v="0"/>
    <x v="0"/>
    <x v="5"/>
    <x v="721"/>
    <n v="4"/>
    <n v="0.1"/>
    <x v="723"/>
  </r>
  <r>
    <x v="724"/>
    <x v="300"/>
    <s v="Consumer"/>
    <x v="2"/>
    <x v="1"/>
    <x v="5"/>
    <x v="722"/>
    <n v="3"/>
    <n v="0.15"/>
    <x v="724"/>
  </r>
  <r>
    <x v="725"/>
    <x v="264"/>
    <s v="Corporate"/>
    <x v="2"/>
    <x v="2"/>
    <x v="1"/>
    <x v="723"/>
    <n v="3"/>
    <n v="0.1"/>
    <x v="725"/>
  </r>
  <r>
    <x v="726"/>
    <x v="97"/>
    <s v="Corporate"/>
    <x v="3"/>
    <x v="0"/>
    <x v="4"/>
    <x v="724"/>
    <n v="5"/>
    <n v="0.05"/>
    <x v="726"/>
  </r>
  <r>
    <x v="727"/>
    <x v="112"/>
    <s v="Home Office"/>
    <x v="3"/>
    <x v="2"/>
    <x v="1"/>
    <x v="725"/>
    <n v="2"/>
    <n v="0.15"/>
    <x v="727"/>
  </r>
  <r>
    <x v="728"/>
    <x v="25"/>
    <s v="Home Office"/>
    <x v="1"/>
    <x v="0"/>
    <x v="6"/>
    <x v="726"/>
    <n v="4"/>
    <n v="0"/>
    <x v="728"/>
  </r>
  <r>
    <x v="729"/>
    <x v="301"/>
    <s v="Home Office"/>
    <x v="1"/>
    <x v="1"/>
    <x v="3"/>
    <x v="727"/>
    <n v="9"/>
    <n v="0.15"/>
    <x v="729"/>
  </r>
  <r>
    <x v="730"/>
    <x v="302"/>
    <s v="Corporate"/>
    <x v="0"/>
    <x v="1"/>
    <x v="2"/>
    <x v="728"/>
    <n v="9"/>
    <n v="0.05"/>
    <x v="730"/>
  </r>
  <r>
    <x v="731"/>
    <x v="303"/>
    <s v="Home Office"/>
    <x v="0"/>
    <x v="0"/>
    <x v="3"/>
    <x v="729"/>
    <n v="2"/>
    <n v="0.15"/>
    <x v="731"/>
  </r>
  <r>
    <x v="732"/>
    <x v="10"/>
    <s v="Consumer"/>
    <x v="2"/>
    <x v="0"/>
    <x v="6"/>
    <x v="730"/>
    <n v="1"/>
    <n v="0.15"/>
    <x v="732"/>
  </r>
  <r>
    <x v="733"/>
    <x v="242"/>
    <s v="Home Office"/>
    <x v="3"/>
    <x v="1"/>
    <x v="0"/>
    <x v="731"/>
    <n v="10"/>
    <n v="0"/>
    <x v="733"/>
  </r>
  <r>
    <x v="734"/>
    <x v="197"/>
    <s v="Home Office"/>
    <x v="2"/>
    <x v="0"/>
    <x v="1"/>
    <x v="732"/>
    <n v="7"/>
    <n v="0.15"/>
    <x v="734"/>
  </r>
  <r>
    <x v="735"/>
    <x v="103"/>
    <s v="Corporate"/>
    <x v="3"/>
    <x v="1"/>
    <x v="1"/>
    <x v="733"/>
    <n v="7"/>
    <n v="0.15"/>
    <x v="735"/>
  </r>
  <r>
    <x v="736"/>
    <x v="260"/>
    <s v="Corporate"/>
    <x v="3"/>
    <x v="1"/>
    <x v="3"/>
    <x v="734"/>
    <n v="4"/>
    <n v="0.05"/>
    <x v="736"/>
  </r>
  <r>
    <x v="737"/>
    <x v="156"/>
    <s v="Corporate"/>
    <x v="1"/>
    <x v="0"/>
    <x v="6"/>
    <x v="735"/>
    <n v="3"/>
    <n v="0.15"/>
    <x v="737"/>
  </r>
  <r>
    <x v="738"/>
    <x v="22"/>
    <s v="Consumer"/>
    <x v="1"/>
    <x v="0"/>
    <x v="4"/>
    <x v="736"/>
    <n v="7"/>
    <n v="0.05"/>
    <x v="738"/>
  </r>
  <r>
    <x v="739"/>
    <x v="249"/>
    <s v="Consumer"/>
    <x v="0"/>
    <x v="2"/>
    <x v="4"/>
    <x v="737"/>
    <n v="1"/>
    <n v="0.05"/>
    <x v="739"/>
  </r>
  <r>
    <x v="740"/>
    <x v="69"/>
    <s v="Consumer"/>
    <x v="3"/>
    <x v="2"/>
    <x v="5"/>
    <x v="738"/>
    <n v="4"/>
    <n v="0"/>
    <x v="740"/>
  </r>
  <r>
    <x v="741"/>
    <x v="263"/>
    <s v="Corporate"/>
    <x v="0"/>
    <x v="1"/>
    <x v="2"/>
    <x v="739"/>
    <n v="8"/>
    <n v="0.1"/>
    <x v="741"/>
  </r>
  <r>
    <x v="742"/>
    <x v="304"/>
    <s v="Corporate"/>
    <x v="0"/>
    <x v="0"/>
    <x v="5"/>
    <x v="740"/>
    <n v="8"/>
    <n v="0.05"/>
    <x v="742"/>
  </r>
  <r>
    <x v="743"/>
    <x v="3"/>
    <s v="Corporate"/>
    <x v="2"/>
    <x v="2"/>
    <x v="6"/>
    <x v="741"/>
    <n v="4"/>
    <n v="0.15"/>
    <x v="743"/>
  </r>
  <r>
    <x v="744"/>
    <x v="86"/>
    <s v="Consumer"/>
    <x v="1"/>
    <x v="0"/>
    <x v="3"/>
    <x v="742"/>
    <n v="5"/>
    <n v="0.1"/>
    <x v="744"/>
  </r>
  <r>
    <x v="745"/>
    <x v="116"/>
    <s v="Consumer"/>
    <x v="1"/>
    <x v="0"/>
    <x v="3"/>
    <x v="743"/>
    <n v="7"/>
    <n v="0.15"/>
    <x v="745"/>
  </r>
  <r>
    <x v="746"/>
    <x v="255"/>
    <s v="Home Office"/>
    <x v="2"/>
    <x v="2"/>
    <x v="1"/>
    <x v="744"/>
    <n v="10"/>
    <n v="0"/>
    <x v="746"/>
  </r>
  <r>
    <x v="747"/>
    <x v="119"/>
    <s v="Home Office"/>
    <x v="3"/>
    <x v="2"/>
    <x v="5"/>
    <x v="745"/>
    <n v="6"/>
    <n v="0.1"/>
    <x v="747"/>
  </r>
  <r>
    <x v="748"/>
    <x v="66"/>
    <s v="Home Office"/>
    <x v="3"/>
    <x v="1"/>
    <x v="6"/>
    <x v="746"/>
    <n v="7"/>
    <n v="0.1"/>
    <x v="748"/>
  </r>
  <r>
    <x v="749"/>
    <x v="27"/>
    <s v="Consumer"/>
    <x v="3"/>
    <x v="2"/>
    <x v="0"/>
    <x v="747"/>
    <n v="5"/>
    <n v="0"/>
    <x v="749"/>
  </r>
  <r>
    <x v="750"/>
    <x v="205"/>
    <s v="Corporate"/>
    <x v="0"/>
    <x v="1"/>
    <x v="1"/>
    <x v="748"/>
    <n v="6"/>
    <n v="0"/>
    <x v="750"/>
  </r>
  <r>
    <x v="751"/>
    <x v="106"/>
    <s v="Consumer"/>
    <x v="1"/>
    <x v="0"/>
    <x v="0"/>
    <x v="749"/>
    <n v="2"/>
    <n v="0.05"/>
    <x v="751"/>
  </r>
  <r>
    <x v="752"/>
    <x v="44"/>
    <s v="Corporate"/>
    <x v="0"/>
    <x v="0"/>
    <x v="2"/>
    <x v="750"/>
    <n v="10"/>
    <n v="0.1"/>
    <x v="752"/>
  </r>
  <r>
    <x v="753"/>
    <x v="305"/>
    <s v="Consumer"/>
    <x v="3"/>
    <x v="2"/>
    <x v="2"/>
    <x v="751"/>
    <n v="9"/>
    <n v="0.05"/>
    <x v="753"/>
  </r>
  <r>
    <x v="754"/>
    <x v="116"/>
    <s v="Home Office"/>
    <x v="2"/>
    <x v="1"/>
    <x v="0"/>
    <x v="752"/>
    <n v="9"/>
    <n v="0.05"/>
    <x v="754"/>
  </r>
  <r>
    <x v="755"/>
    <x v="83"/>
    <s v="Home Office"/>
    <x v="0"/>
    <x v="1"/>
    <x v="1"/>
    <x v="753"/>
    <n v="5"/>
    <n v="0.1"/>
    <x v="755"/>
  </r>
  <r>
    <x v="756"/>
    <x v="186"/>
    <s v="Corporate"/>
    <x v="3"/>
    <x v="2"/>
    <x v="2"/>
    <x v="754"/>
    <n v="10"/>
    <n v="0.1"/>
    <x v="756"/>
  </r>
  <r>
    <x v="757"/>
    <x v="73"/>
    <s v="Home Office"/>
    <x v="1"/>
    <x v="1"/>
    <x v="6"/>
    <x v="755"/>
    <n v="9"/>
    <n v="0"/>
    <x v="757"/>
  </r>
  <r>
    <x v="758"/>
    <x v="93"/>
    <s v="Home Office"/>
    <x v="3"/>
    <x v="2"/>
    <x v="2"/>
    <x v="756"/>
    <n v="1"/>
    <n v="0.15"/>
    <x v="758"/>
  </r>
  <r>
    <x v="759"/>
    <x v="221"/>
    <s v="Corporate"/>
    <x v="0"/>
    <x v="0"/>
    <x v="4"/>
    <x v="757"/>
    <n v="3"/>
    <n v="0"/>
    <x v="759"/>
  </r>
  <r>
    <x v="760"/>
    <x v="249"/>
    <s v="Consumer"/>
    <x v="0"/>
    <x v="1"/>
    <x v="1"/>
    <x v="758"/>
    <n v="3"/>
    <n v="0.1"/>
    <x v="760"/>
  </r>
  <r>
    <x v="761"/>
    <x v="141"/>
    <s v="Corporate"/>
    <x v="1"/>
    <x v="2"/>
    <x v="6"/>
    <x v="759"/>
    <n v="4"/>
    <n v="0.15"/>
    <x v="761"/>
  </r>
  <r>
    <x v="762"/>
    <x v="62"/>
    <s v="Consumer"/>
    <x v="3"/>
    <x v="1"/>
    <x v="6"/>
    <x v="760"/>
    <n v="8"/>
    <n v="0"/>
    <x v="762"/>
  </r>
  <r>
    <x v="763"/>
    <x v="259"/>
    <s v="Consumer"/>
    <x v="2"/>
    <x v="2"/>
    <x v="1"/>
    <x v="761"/>
    <n v="6"/>
    <n v="0.1"/>
    <x v="763"/>
  </r>
  <r>
    <x v="764"/>
    <x v="128"/>
    <s v="Home Office"/>
    <x v="1"/>
    <x v="0"/>
    <x v="6"/>
    <x v="762"/>
    <n v="4"/>
    <n v="0.15"/>
    <x v="764"/>
  </r>
  <r>
    <x v="765"/>
    <x v="306"/>
    <s v="Home Office"/>
    <x v="3"/>
    <x v="2"/>
    <x v="0"/>
    <x v="763"/>
    <n v="1"/>
    <n v="0.15"/>
    <x v="765"/>
  </r>
  <r>
    <x v="766"/>
    <x v="184"/>
    <s v="Home Office"/>
    <x v="3"/>
    <x v="2"/>
    <x v="4"/>
    <x v="764"/>
    <n v="10"/>
    <n v="0.05"/>
    <x v="766"/>
  </r>
  <r>
    <x v="767"/>
    <x v="263"/>
    <s v="Home Office"/>
    <x v="2"/>
    <x v="2"/>
    <x v="6"/>
    <x v="765"/>
    <n v="3"/>
    <n v="0"/>
    <x v="767"/>
  </r>
  <r>
    <x v="768"/>
    <x v="44"/>
    <s v="Home Office"/>
    <x v="2"/>
    <x v="2"/>
    <x v="1"/>
    <x v="766"/>
    <n v="6"/>
    <n v="0.05"/>
    <x v="768"/>
  </r>
  <r>
    <x v="769"/>
    <x v="195"/>
    <s v="Consumer"/>
    <x v="2"/>
    <x v="0"/>
    <x v="3"/>
    <x v="767"/>
    <n v="10"/>
    <n v="0.1"/>
    <x v="769"/>
  </r>
  <r>
    <x v="770"/>
    <x v="28"/>
    <s v="Corporate"/>
    <x v="2"/>
    <x v="2"/>
    <x v="5"/>
    <x v="768"/>
    <n v="5"/>
    <n v="0.15"/>
    <x v="770"/>
  </r>
  <r>
    <x v="771"/>
    <x v="37"/>
    <s v="Corporate"/>
    <x v="0"/>
    <x v="2"/>
    <x v="0"/>
    <x v="769"/>
    <n v="1"/>
    <n v="0.1"/>
    <x v="771"/>
  </r>
  <r>
    <x v="772"/>
    <x v="97"/>
    <s v="Home Office"/>
    <x v="2"/>
    <x v="0"/>
    <x v="1"/>
    <x v="770"/>
    <n v="1"/>
    <n v="0"/>
    <x v="772"/>
  </r>
  <r>
    <x v="773"/>
    <x v="170"/>
    <s v="Home Office"/>
    <x v="3"/>
    <x v="2"/>
    <x v="6"/>
    <x v="771"/>
    <n v="5"/>
    <n v="0"/>
    <x v="773"/>
  </r>
  <r>
    <x v="774"/>
    <x v="219"/>
    <s v="Home Office"/>
    <x v="2"/>
    <x v="1"/>
    <x v="6"/>
    <x v="772"/>
    <n v="8"/>
    <n v="0.15"/>
    <x v="774"/>
  </r>
  <r>
    <x v="775"/>
    <x v="213"/>
    <s v="Corporate"/>
    <x v="3"/>
    <x v="1"/>
    <x v="4"/>
    <x v="773"/>
    <n v="8"/>
    <n v="0"/>
    <x v="775"/>
  </r>
  <r>
    <x v="776"/>
    <x v="307"/>
    <s v="Home Office"/>
    <x v="0"/>
    <x v="2"/>
    <x v="3"/>
    <x v="774"/>
    <n v="3"/>
    <n v="0"/>
    <x v="776"/>
  </r>
  <r>
    <x v="777"/>
    <x v="17"/>
    <s v="Consumer"/>
    <x v="1"/>
    <x v="1"/>
    <x v="0"/>
    <x v="775"/>
    <n v="4"/>
    <n v="0"/>
    <x v="777"/>
  </r>
  <r>
    <x v="778"/>
    <x v="217"/>
    <s v="Home Office"/>
    <x v="0"/>
    <x v="1"/>
    <x v="3"/>
    <x v="776"/>
    <n v="7"/>
    <n v="0.15"/>
    <x v="778"/>
  </r>
  <r>
    <x v="779"/>
    <x v="258"/>
    <s v="Consumer"/>
    <x v="1"/>
    <x v="0"/>
    <x v="4"/>
    <x v="777"/>
    <n v="1"/>
    <n v="0.05"/>
    <x v="779"/>
  </r>
  <r>
    <x v="780"/>
    <x v="79"/>
    <s v="Consumer"/>
    <x v="3"/>
    <x v="0"/>
    <x v="0"/>
    <x v="778"/>
    <n v="6"/>
    <n v="0"/>
    <x v="780"/>
  </r>
  <r>
    <x v="781"/>
    <x v="240"/>
    <s v="Consumer"/>
    <x v="3"/>
    <x v="0"/>
    <x v="0"/>
    <x v="779"/>
    <n v="9"/>
    <n v="0.1"/>
    <x v="781"/>
  </r>
  <r>
    <x v="782"/>
    <x v="208"/>
    <s v="Consumer"/>
    <x v="3"/>
    <x v="1"/>
    <x v="2"/>
    <x v="780"/>
    <n v="5"/>
    <n v="0.05"/>
    <x v="782"/>
  </r>
  <r>
    <x v="783"/>
    <x v="181"/>
    <s v="Home Office"/>
    <x v="2"/>
    <x v="0"/>
    <x v="2"/>
    <x v="781"/>
    <n v="1"/>
    <n v="0.1"/>
    <x v="783"/>
  </r>
  <r>
    <x v="784"/>
    <x v="30"/>
    <s v="Corporate"/>
    <x v="3"/>
    <x v="1"/>
    <x v="0"/>
    <x v="782"/>
    <n v="6"/>
    <n v="0"/>
    <x v="784"/>
  </r>
  <r>
    <x v="785"/>
    <x v="154"/>
    <s v="Corporate"/>
    <x v="1"/>
    <x v="1"/>
    <x v="6"/>
    <x v="783"/>
    <n v="4"/>
    <n v="0.05"/>
    <x v="785"/>
  </r>
  <r>
    <x v="786"/>
    <x v="112"/>
    <s v="Home Office"/>
    <x v="1"/>
    <x v="0"/>
    <x v="4"/>
    <x v="784"/>
    <n v="1"/>
    <n v="0.15"/>
    <x v="786"/>
  </r>
  <r>
    <x v="787"/>
    <x v="101"/>
    <s v="Corporate"/>
    <x v="2"/>
    <x v="2"/>
    <x v="3"/>
    <x v="785"/>
    <n v="2"/>
    <n v="0.05"/>
    <x v="787"/>
  </r>
  <r>
    <x v="788"/>
    <x v="307"/>
    <s v="Home Office"/>
    <x v="1"/>
    <x v="2"/>
    <x v="2"/>
    <x v="786"/>
    <n v="6"/>
    <n v="0.15"/>
    <x v="788"/>
  </r>
  <r>
    <x v="789"/>
    <x v="50"/>
    <s v="Home Office"/>
    <x v="3"/>
    <x v="2"/>
    <x v="5"/>
    <x v="787"/>
    <n v="3"/>
    <n v="0.15"/>
    <x v="789"/>
  </r>
  <r>
    <x v="790"/>
    <x v="302"/>
    <s v="Corporate"/>
    <x v="1"/>
    <x v="2"/>
    <x v="2"/>
    <x v="788"/>
    <n v="4"/>
    <n v="0"/>
    <x v="790"/>
  </r>
  <r>
    <x v="791"/>
    <x v="181"/>
    <s v="Consumer"/>
    <x v="2"/>
    <x v="2"/>
    <x v="1"/>
    <x v="789"/>
    <n v="6"/>
    <n v="0.1"/>
    <x v="791"/>
  </r>
  <r>
    <x v="792"/>
    <x v="134"/>
    <s v="Corporate"/>
    <x v="3"/>
    <x v="2"/>
    <x v="2"/>
    <x v="790"/>
    <n v="8"/>
    <n v="0.05"/>
    <x v="792"/>
  </r>
  <r>
    <x v="793"/>
    <x v="266"/>
    <s v="Corporate"/>
    <x v="1"/>
    <x v="1"/>
    <x v="4"/>
    <x v="791"/>
    <n v="10"/>
    <n v="0.1"/>
    <x v="793"/>
  </r>
  <r>
    <x v="794"/>
    <x v="308"/>
    <s v="Corporate"/>
    <x v="1"/>
    <x v="1"/>
    <x v="1"/>
    <x v="792"/>
    <n v="8"/>
    <n v="0.15"/>
    <x v="794"/>
  </r>
  <r>
    <x v="795"/>
    <x v="156"/>
    <s v="Corporate"/>
    <x v="1"/>
    <x v="0"/>
    <x v="1"/>
    <x v="479"/>
    <n v="6"/>
    <n v="0"/>
    <x v="795"/>
  </r>
  <r>
    <x v="796"/>
    <x v="184"/>
    <s v="Consumer"/>
    <x v="0"/>
    <x v="0"/>
    <x v="2"/>
    <x v="793"/>
    <n v="9"/>
    <n v="0.05"/>
    <x v="796"/>
  </r>
  <r>
    <x v="797"/>
    <x v="34"/>
    <s v="Consumer"/>
    <x v="1"/>
    <x v="1"/>
    <x v="1"/>
    <x v="794"/>
    <n v="2"/>
    <n v="0.15"/>
    <x v="797"/>
  </r>
  <r>
    <x v="798"/>
    <x v="120"/>
    <s v="Consumer"/>
    <x v="3"/>
    <x v="2"/>
    <x v="4"/>
    <x v="795"/>
    <n v="10"/>
    <n v="0"/>
    <x v="798"/>
  </r>
  <r>
    <x v="799"/>
    <x v="207"/>
    <s v="Consumer"/>
    <x v="2"/>
    <x v="0"/>
    <x v="1"/>
    <x v="796"/>
    <n v="5"/>
    <n v="0"/>
    <x v="799"/>
  </r>
  <r>
    <x v="800"/>
    <x v="54"/>
    <s v="Home Office"/>
    <x v="3"/>
    <x v="0"/>
    <x v="1"/>
    <x v="797"/>
    <n v="6"/>
    <n v="0.1"/>
    <x v="800"/>
  </r>
  <r>
    <x v="801"/>
    <x v="267"/>
    <s v="Home Office"/>
    <x v="1"/>
    <x v="0"/>
    <x v="1"/>
    <x v="798"/>
    <n v="1"/>
    <n v="0"/>
    <x v="801"/>
  </r>
  <r>
    <x v="802"/>
    <x v="37"/>
    <s v="Corporate"/>
    <x v="3"/>
    <x v="2"/>
    <x v="0"/>
    <x v="799"/>
    <n v="3"/>
    <n v="0.15"/>
    <x v="802"/>
  </r>
  <r>
    <x v="803"/>
    <x v="28"/>
    <s v="Corporate"/>
    <x v="3"/>
    <x v="1"/>
    <x v="5"/>
    <x v="800"/>
    <n v="9"/>
    <n v="0.1"/>
    <x v="803"/>
  </r>
  <r>
    <x v="804"/>
    <x v="306"/>
    <s v="Consumer"/>
    <x v="3"/>
    <x v="1"/>
    <x v="4"/>
    <x v="801"/>
    <n v="9"/>
    <n v="0.15"/>
    <x v="804"/>
  </r>
  <r>
    <x v="805"/>
    <x v="122"/>
    <s v="Home Office"/>
    <x v="1"/>
    <x v="2"/>
    <x v="4"/>
    <x v="802"/>
    <n v="2"/>
    <n v="0"/>
    <x v="805"/>
  </r>
  <r>
    <x v="806"/>
    <x v="27"/>
    <s v="Corporate"/>
    <x v="2"/>
    <x v="2"/>
    <x v="1"/>
    <x v="803"/>
    <n v="1"/>
    <n v="0.1"/>
    <x v="806"/>
  </r>
  <r>
    <x v="807"/>
    <x v="206"/>
    <s v="Consumer"/>
    <x v="2"/>
    <x v="2"/>
    <x v="5"/>
    <x v="804"/>
    <n v="7"/>
    <n v="0.15"/>
    <x v="807"/>
  </r>
  <r>
    <x v="808"/>
    <x v="50"/>
    <s v="Home Office"/>
    <x v="3"/>
    <x v="1"/>
    <x v="3"/>
    <x v="805"/>
    <n v="9"/>
    <n v="0.15"/>
    <x v="808"/>
  </r>
  <r>
    <x v="809"/>
    <x v="36"/>
    <s v="Corporate"/>
    <x v="1"/>
    <x v="2"/>
    <x v="5"/>
    <x v="806"/>
    <n v="9"/>
    <n v="0.05"/>
    <x v="809"/>
  </r>
  <r>
    <x v="810"/>
    <x v="254"/>
    <s v="Consumer"/>
    <x v="1"/>
    <x v="0"/>
    <x v="3"/>
    <x v="807"/>
    <n v="6"/>
    <n v="0.15"/>
    <x v="810"/>
  </r>
  <r>
    <x v="811"/>
    <x v="309"/>
    <s v="Corporate"/>
    <x v="2"/>
    <x v="2"/>
    <x v="4"/>
    <x v="808"/>
    <n v="4"/>
    <n v="0.1"/>
    <x v="811"/>
  </r>
  <r>
    <x v="812"/>
    <x v="310"/>
    <s v="Consumer"/>
    <x v="2"/>
    <x v="1"/>
    <x v="3"/>
    <x v="809"/>
    <n v="2"/>
    <n v="0.1"/>
    <x v="812"/>
  </r>
  <r>
    <x v="813"/>
    <x v="311"/>
    <s v="Corporate"/>
    <x v="2"/>
    <x v="0"/>
    <x v="4"/>
    <x v="810"/>
    <n v="2"/>
    <n v="0"/>
    <x v="813"/>
  </r>
  <r>
    <x v="814"/>
    <x v="223"/>
    <s v="Home Office"/>
    <x v="0"/>
    <x v="0"/>
    <x v="1"/>
    <x v="811"/>
    <n v="10"/>
    <n v="0"/>
    <x v="814"/>
  </r>
  <r>
    <x v="815"/>
    <x v="197"/>
    <s v="Home Office"/>
    <x v="3"/>
    <x v="1"/>
    <x v="0"/>
    <x v="812"/>
    <n v="9"/>
    <n v="0.1"/>
    <x v="815"/>
  </r>
  <r>
    <x v="816"/>
    <x v="91"/>
    <s v="Corporate"/>
    <x v="2"/>
    <x v="2"/>
    <x v="4"/>
    <x v="813"/>
    <n v="5"/>
    <n v="0.1"/>
    <x v="816"/>
  </r>
  <r>
    <x v="817"/>
    <x v="127"/>
    <s v="Home Office"/>
    <x v="1"/>
    <x v="0"/>
    <x v="4"/>
    <x v="814"/>
    <n v="2"/>
    <n v="0.1"/>
    <x v="817"/>
  </r>
  <r>
    <x v="818"/>
    <x v="312"/>
    <s v="Home Office"/>
    <x v="0"/>
    <x v="1"/>
    <x v="3"/>
    <x v="815"/>
    <n v="6"/>
    <n v="0"/>
    <x v="818"/>
  </r>
  <r>
    <x v="819"/>
    <x v="54"/>
    <s v="Home Office"/>
    <x v="3"/>
    <x v="1"/>
    <x v="6"/>
    <x v="816"/>
    <n v="7"/>
    <n v="0"/>
    <x v="819"/>
  </r>
  <r>
    <x v="820"/>
    <x v="234"/>
    <s v="Home Office"/>
    <x v="1"/>
    <x v="2"/>
    <x v="5"/>
    <x v="817"/>
    <n v="5"/>
    <n v="0.15"/>
    <x v="820"/>
  </r>
  <r>
    <x v="821"/>
    <x v="49"/>
    <s v="Corporate"/>
    <x v="1"/>
    <x v="1"/>
    <x v="0"/>
    <x v="818"/>
    <n v="6"/>
    <n v="0"/>
    <x v="821"/>
  </r>
  <r>
    <x v="822"/>
    <x v="244"/>
    <s v="Home Office"/>
    <x v="3"/>
    <x v="2"/>
    <x v="2"/>
    <x v="819"/>
    <n v="3"/>
    <n v="0"/>
    <x v="822"/>
  </r>
  <r>
    <x v="823"/>
    <x v="192"/>
    <s v="Consumer"/>
    <x v="3"/>
    <x v="2"/>
    <x v="2"/>
    <x v="820"/>
    <n v="2"/>
    <n v="0"/>
    <x v="823"/>
  </r>
  <r>
    <x v="824"/>
    <x v="235"/>
    <s v="Corporate"/>
    <x v="3"/>
    <x v="1"/>
    <x v="6"/>
    <x v="821"/>
    <n v="4"/>
    <n v="0.05"/>
    <x v="824"/>
  </r>
  <r>
    <x v="825"/>
    <x v="217"/>
    <s v="Home Office"/>
    <x v="1"/>
    <x v="0"/>
    <x v="3"/>
    <x v="822"/>
    <n v="5"/>
    <n v="0.05"/>
    <x v="825"/>
  </r>
  <r>
    <x v="826"/>
    <x v="111"/>
    <s v="Home Office"/>
    <x v="2"/>
    <x v="2"/>
    <x v="0"/>
    <x v="823"/>
    <n v="2"/>
    <n v="0"/>
    <x v="826"/>
  </r>
  <r>
    <x v="827"/>
    <x v="214"/>
    <s v="Consumer"/>
    <x v="1"/>
    <x v="1"/>
    <x v="4"/>
    <x v="824"/>
    <n v="3"/>
    <n v="0.05"/>
    <x v="827"/>
  </r>
  <r>
    <x v="828"/>
    <x v="224"/>
    <s v="Home Office"/>
    <x v="3"/>
    <x v="1"/>
    <x v="0"/>
    <x v="825"/>
    <n v="9"/>
    <n v="0"/>
    <x v="828"/>
  </r>
  <r>
    <x v="829"/>
    <x v="223"/>
    <s v="Corporate"/>
    <x v="3"/>
    <x v="2"/>
    <x v="6"/>
    <x v="826"/>
    <n v="7"/>
    <n v="0.05"/>
    <x v="829"/>
  </r>
  <r>
    <x v="830"/>
    <x v="313"/>
    <s v="Consumer"/>
    <x v="2"/>
    <x v="0"/>
    <x v="5"/>
    <x v="827"/>
    <n v="6"/>
    <n v="0.05"/>
    <x v="830"/>
  </r>
  <r>
    <x v="831"/>
    <x v="82"/>
    <s v="Corporate"/>
    <x v="2"/>
    <x v="2"/>
    <x v="2"/>
    <x v="828"/>
    <n v="1"/>
    <n v="0.15"/>
    <x v="831"/>
  </r>
  <r>
    <x v="832"/>
    <x v="302"/>
    <s v="Home Office"/>
    <x v="0"/>
    <x v="0"/>
    <x v="0"/>
    <x v="829"/>
    <n v="4"/>
    <n v="0.05"/>
    <x v="832"/>
  </r>
  <r>
    <x v="833"/>
    <x v="314"/>
    <s v="Corporate"/>
    <x v="1"/>
    <x v="0"/>
    <x v="1"/>
    <x v="830"/>
    <n v="1"/>
    <n v="0"/>
    <x v="833"/>
  </r>
  <r>
    <x v="834"/>
    <x v="106"/>
    <s v="Consumer"/>
    <x v="3"/>
    <x v="1"/>
    <x v="0"/>
    <x v="831"/>
    <n v="4"/>
    <n v="0.1"/>
    <x v="834"/>
  </r>
  <r>
    <x v="835"/>
    <x v="273"/>
    <s v="Consumer"/>
    <x v="2"/>
    <x v="2"/>
    <x v="1"/>
    <x v="832"/>
    <n v="7"/>
    <n v="0.05"/>
    <x v="835"/>
  </r>
  <r>
    <x v="836"/>
    <x v="137"/>
    <s v="Consumer"/>
    <x v="3"/>
    <x v="0"/>
    <x v="1"/>
    <x v="833"/>
    <n v="2"/>
    <n v="0.15"/>
    <x v="836"/>
  </r>
  <r>
    <x v="837"/>
    <x v="237"/>
    <s v="Consumer"/>
    <x v="0"/>
    <x v="2"/>
    <x v="1"/>
    <x v="834"/>
    <n v="8"/>
    <n v="0"/>
    <x v="837"/>
  </r>
  <r>
    <x v="838"/>
    <x v="256"/>
    <s v="Corporate"/>
    <x v="0"/>
    <x v="1"/>
    <x v="4"/>
    <x v="835"/>
    <n v="2"/>
    <n v="0.15"/>
    <x v="838"/>
  </r>
  <r>
    <x v="839"/>
    <x v="309"/>
    <s v="Consumer"/>
    <x v="2"/>
    <x v="1"/>
    <x v="5"/>
    <x v="550"/>
    <n v="1"/>
    <n v="0.1"/>
    <x v="839"/>
  </r>
  <r>
    <x v="840"/>
    <x v="47"/>
    <s v="Home Office"/>
    <x v="2"/>
    <x v="0"/>
    <x v="1"/>
    <x v="836"/>
    <n v="1"/>
    <n v="0"/>
    <x v="840"/>
  </r>
  <r>
    <x v="841"/>
    <x v="188"/>
    <s v="Home Office"/>
    <x v="3"/>
    <x v="2"/>
    <x v="4"/>
    <x v="837"/>
    <n v="1"/>
    <n v="0"/>
    <x v="841"/>
  </r>
  <r>
    <x v="842"/>
    <x v="39"/>
    <s v="Corporate"/>
    <x v="2"/>
    <x v="0"/>
    <x v="6"/>
    <x v="838"/>
    <n v="1"/>
    <n v="0"/>
    <x v="842"/>
  </r>
  <r>
    <x v="843"/>
    <x v="154"/>
    <s v="Consumer"/>
    <x v="1"/>
    <x v="0"/>
    <x v="2"/>
    <x v="839"/>
    <n v="8"/>
    <n v="0.05"/>
    <x v="843"/>
  </r>
  <r>
    <x v="844"/>
    <x v="80"/>
    <s v="Home Office"/>
    <x v="2"/>
    <x v="1"/>
    <x v="1"/>
    <x v="840"/>
    <n v="3"/>
    <n v="0.1"/>
    <x v="844"/>
  </r>
  <r>
    <x v="845"/>
    <x v="263"/>
    <s v="Corporate"/>
    <x v="2"/>
    <x v="2"/>
    <x v="1"/>
    <x v="841"/>
    <n v="7"/>
    <n v="0.15"/>
    <x v="845"/>
  </r>
  <r>
    <x v="846"/>
    <x v="221"/>
    <s v="Corporate"/>
    <x v="2"/>
    <x v="0"/>
    <x v="3"/>
    <x v="842"/>
    <n v="2"/>
    <n v="0.15"/>
    <x v="846"/>
  </r>
  <r>
    <x v="847"/>
    <x v="147"/>
    <s v="Home Office"/>
    <x v="0"/>
    <x v="2"/>
    <x v="2"/>
    <x v="843"/>
    <n v="2"/>
    <n v="0.1"/>
    <x v="847"/>
  </r>
  <r>
    <x v="848"/>
    <x v="151"/>
    <s v="Corporate"/>
    <x v="1"/>
    <x v="2"/>
    <x v="3"/>
    <x v="844"/>
    <n v="5"/>
    <n v="0.05"/>
    <x v="848"/>
  </r>
  <r>
    <x v="849"/>
    <x v="39"/>
    <s v="Corporate"/>
    <x v="1"/>
    <x v="0"/>
    <x v="4"/>
    <x v="845"/>
    <n v="4"/>
    <n v="0.05"/>
    <x v="849"/>
  </r>
  <r>
    <x v="850"/>
    <x v="121"/>
    <s v="Consumer"/>
    <x v="2"/>
    <x v="2"/>
    <x v="1"/>
    <x v="846"/>
    <n v="6"/>
    <n v="0.05"/>
    <x v="850"/>
  </r>
  <r>
    <x v="851"/>
    <x v="52"/>
    <s v="Corporate"/>
    <x v="0"/>
    <x v="0"/>
    <x v="2"/>
    <x v="847"/>
    <n v="9"/>
    <n v="0.1"/>
    <x v="851"/>
  </r>
  <r>
    <x v="852"/>
    <x v="312"/>
    <s v="Corporate"/>
    <x v="1"/>
    <x v="0"/>
    <x v="4"/>
    <x v="848"/>
    <n v="9"/>
    <n v="0.1"/>
    <x v="852"/>
  </r>
  <r>
    <x v="853"/>
    <x v="263"/>
    <s v="Consumer"/>
    <x v="3"/>
    <x v="0"/>
    <x v="4"/>
    <x v="849"/>
    <n v="1"/>
    <n v="0.1"/>
    <x v="853"/>
  </r>
  <r>
    <x v="854"/>
    <x v="307"/>
    <s v="Corporate"/>
    <x v="3"/>
    <x v="2"/>
    <x v="4"/>
    <x v="850"/>
    <n v="9"/>
    <n v="0.05"/>
    <x v="854"/>
  </r>
  <r>
    <x v="855"/>
    <x v="272"/>
    <s v="Corporate"/>
    <x v="3"/>
    <x v="2"/>
    <x v="3"/>
    <x v="851"/>
    <n v="7"/>
    <n v="0.15"/>
    <x v="855"/>
  </r>
  <r>
    <x v="856"/>
    <x v="100"/>
    <s v="Consumer"/>
    <x v="0"/>
    <x v="2"/>
    <x v="2"/>
    <x v="852"/>
    <n v="10"/>
    <n v="0.1"/>
    <x v="856"/>
  </r>
  <r>
    <x v="857"/>
    <x v="143"/>
    <s v="Corporate"/>
    <x v="3"/>
    <x v="0"/>
    <x v="3"/>
    <x v="853"/>
    <n v="9"/>
    <n v="0.1"/>
    <x v="857"/>
  </r>
  <r>
    <x v="858"/>
    <x v="156"/>
    <s v="Consumer"/>
    <x v="1"/>
    <x v="2"/>
    <x v="0"/>
    <x v="854"/>
    <n v="1"/>
    <n v="0.15"/>
    <x v="858"/>
  </r>
  <r>
    <x v="859"/>
    <x v="121"/>
    <s v="Consumer"/>
    <x v="1"/>
    <x v="1"/>
    <x v="1"/>
    <x v="855"/>
    <n v="4"/>
    <n v="0.1"/>
    <x v="859"/>
  </r>
  <r>
    <x v="860"/>
    <x v="11"/>
    <s v="Consumer"/>
    <x v="2"/>
    <x v="0"/>
    <x v="6"/>
    <x v="856"/>
    <n v="10"/>
    <n v="0"/>
    <x v="860"/>
  </r>
  <r>
    <x v="861"/>
    <x v="267"/>
    <s v="Home Office"/>
    <x v="2"/>
    <x v="2"/>
    <x v="4"/>
    <x v="857"/>
    <n v="2"/>
    <n v="0.1"/>
    <x v="861"/>
  </r>
  <r>
    <x v="862"/>
    <x v="149"/>
    <s v="Corporate"/>
    <x v="3"/>
    <x v="1"/>
    <x v="2"/>
    <x v="858"/>
    <n v="4"/>
    <n v="0.05"/>
    <x v="862"/>
  </r>
  <r>
    <x v="863"/>
    <x v="251"/>
    <s v="Home Office"/>
    <x v="3"/>
    <x v="0"/>
    <x v="4"/>
    <x v="859"/>
    <n v="5"/>
    <n v="0.15"/>
    <x v="863"/>
  </r>
  <r>
    <x v="864"/>
    <x v="128"/>
    <s v="Consumer"/>
    <x v="0"/>
    <x v="0"/>
    <x v="5"/>
    <x v="860"/>
    <n v="10"/>
    <n v="0.1"/>
    <x v="864"/>
  </r>
  <r>
    <x v="865"/>
    <x v="73"/>
    <s v="Consumer"/>
    <x v="0"/>
    <x v="0"/>
    <x v="4"/>
    <x v="861"/>
    <n v="10"/>
    <n v="0"/>
    <x v="865"/>
  </r>
  <r>
    <x v="866"/>
    <x v="42"/>
    <s v="Consumer"/>
    <x v="3"/>
    <x v="1"/>
    <x v="3"/>
    <x v="862"/>
    <n v="2"/>
    <n v="0.05"/>
    <x v="866"/>
  </r>
  <r>
    <x v="867"/>
    <x v="135"/>
    <s v="Corporate"/>
    <x v="3"/>
    <x v="1"/>
    <x v="2"/>
    <x v="863"/>
    <n v="9"/>
    <n v="0.05"/>
    <x v="867"/>
  </r>
  <r>
    <x v="868"/>
    <x v="279"/>
    <s v="Consumer"/>
    <x v="3"/>
    <x v="2"/>
    <x v="3"/>
    <x v="864"/>
    <n v="6"/>
    <n v="0.1"/>
    <x v="868"/>
  </r>
  <r>
    <x v="869"/>
    <x v="137"/>
    <s v="Consumer"/>
    <x v="1"/>
    <x v="2"/>
    <x v="0"/>
    <x v="865"/>
    <n v="8"/>
    <n v="0.15"/>
    <x v="869"/>
  </r>
  <r>
    <x v="870"/>
    <x v="235"/>
    <s v="Home Office"/>
    <x v="1"/>
    <x v="2"/>
    <x v="3"/>
    <x v="866"/>
    <n v="3"/>
    <n v="0.05"/>
    <x v="870"/>
  </r>
  <r>
    <x v="871"/>
    <x v="53"/>
    <s v="Corporate"/>
    <x v="2"/>
    <x v="2"/>
    <x v="3"/>
    <x v="867"/>
    <n v="4"/>
    <n v="0.05"/>
    <x v="871"/>
  </r>
  <r>
    <x v="872"/>
    <x v="262"/>
    <s v="Consumer"/>
    <x v="1"/>
    <x v="2"/>
    <x v="1"/>
    <x v="868"/>
    <n v="9"/>
    <n v="0.15"/>
    <x v="872"/>
  </r>
  <r>
    <x v="873"/>
    <x v="279"/>
    <s v="Corporate"/>
    <x v="0"/>
    <x v="2"/>
    <x v="2"/>
    <x v="869"/>
    <n v="7"/>
    <n v="0.05"/>
    <x v="873"/>
  </r>
  <r>
    <x v="874"/>
    <x v="160"/>
    <s v="Home Office"/>
    <x v="1"/>
    <x v="2"/>
    <x v="4"/>
    <x v="870"/>
    <n v="5"/>
    <n v="0.1"/>
    <x v="874"/>
  </r>
  <r>
    <x v="875"/>
    <x v="293"/>
    <s v="Home Office"/>
    <x v="1"/>
    <x v="1"/>
    <x v="0"/>
    <x v="871"/>
    <n v="7"/>
    <n v="0"/>
    <x v="875"/>
  </r>
  <r>
    <x v="876"/>
    <x v="269"/>
    <s v="Home Office"/>
    <x v="1"/>
    <x v="1"/>
    <x v="2"/>
    <x v="872"/>
    <n v="6"/>
    <n v="0.15"/>
    <x v="876"/>
  </r>
  <r>
    <x v="877"/>
    <x v="143"/>
    <s v="Consumer"/>
    <x v="0"/>
    <x v="1"/>
    <x v="3"/>
    <x v="873"/>
    <n v="7"/>
    <n v="0"/>
    <x v="877"/>
  </r>
  <r>
    <x v="878"/>
    <x v="250"/>
    <s v="Home Office"/>
    <x v="2"/>
    <x v="0"/>
    <x v="5"/>
    <x v="874"/>
    <n v="10"/>
    <n v="0.05"/>
    <x v="878"/>
  </r>
  <r>
    <x v="879"/>
    <x v="314"/>
    <s v="Home Office"/>
    <x v="3"/>
    <x v="0"/>
    <x v="0"/>
    <x v="875"/>
    <n v="8"/>
    <n v="0.05"/>
    <x v="879"/>
  </r>
  <r>
    <x v="880"/>
    <x v="49"/>
    <s v="Consumer"/>
    <x v="0"/>
    <x v="2"/>
    <x v="2"/>
    <x v="876"/>
    <n v="10"/>
    <n v="0.05"/>
    <x v="880"/>
  </r>
  <r>
    <x v="881"/>
    <x v="315"/>
    <s v="Corporate"/>
    <x v="1"/>
    <x v="2"/>
    <x v="4"/>
    <x v="877"/>
    <n v="7"/>
    <n v="0.15"/>
    <x v="881"/>
  </r>
  <r>
    <x v="882"/>
    <x v="316"/>
    <s v="Consumer"/>
    <x v="3"/>
    <x v="1"/>
    <x v="1"/>
    <x v="878"/>
    <n v="2"/>
    <n v="0.05"/>
    <x v="882"/>
  </r>
  <r>
    <x v="883"/>
    <x v="76"/>
    <s v="Corporate"/>
    <x v="0"/>
    <x v="0"/>
    <x v="5"/>
    <x v="879"/>
    <n v="6"/>
    <n v="0"/>
    <x v="883"/>
  </r>
  <r>
    <x v="884"/>
    <x v="238"/>
    <s v="Corporate"/>
    <x v="2"/>
    <x v="1"/>
    <x v="0"/>
    <x v="880"/>
    <n v="7"/>
    <n v="0.1"/>
    <x v="884"/>
  </r>
  <r>
    <x v="885"/>
    <x v="168"/>
    <s v="Corporate"/>
    <x v="0"/>
    <x v="1"/>
    <x v="2"/>
    <x v="881"/>
    <n v="5"/>
    <n v="0.1"/>
    <x v="885"/>
  </r>
  <r>
    <x v="886"/>
    <x v="38"/>
    <s v="Corporate"/>
    <x v="2"/>
    <x v="0"/>
    <x v="4"/>
    <x v="882"/>
    <n v="2"/>
    <n v="0"/>
    <x v="886"/>
  </r>
  <r>
    <x v="887"/>
    <x v="269"/>
    <s v="Home Office"/>
    <x v="0"/>
    <x v="0"/>
    <x v="3"/>
    <x v="883"/>
    <n v="9"/>
    <n v="0.15"/>
    <x v="887"/>
  </r>
  <r>
    <x v="888"/>
    <x v="164"/>
    <s v="Consumer"/>
    <x v="3"/>
    <x v="2"/>
    <x v="5"/>
    <x v="884"/>
    <n v="10"/>
    <n v="0.1"/>
    <x v="888"/>
  </r>
  <r>
    <x v="889"/>
    <x v="27"/>
    <s v="Home Office"/>
    <x v="2"/>
    <x v="2"/>
    <x v="0"/>
    <x v="885"/>
    <n v="9"/>
    <n v="0.15"/>
    <x v="889"/>
  </r>
  <r>
    <x v="890"/>
    <x v="167"/>
    <s v="Home Office"/>
    <x v="0"/>
    <x v="0"/>
    <x v="1"/>
    <x v="886"/>
    <n v="6"/>
    <n v="0.15"/>
    <x v="890"/>
  </r>
  <r>
    <x v="891"/>
    <x v="278"/>
    <s v="Corporate"/>
    <x v="3"/>
    <x v="0"/>
    <x v="0"/>
    <x v="887"/>
    <n v="4"/>
    <n v="0.05"/>
    <x v="891"/>
  </r>
  <r>
    <x v="892"/>
    <x v="268"/>
    <s v="Consumer"/>
    <x v="0"/>
    <x v="1"/>
    <x v="4"/>
    <x v="888"/>
    <n v="5"/>
    <n v="0.05"/>
    <x v="892"/>
  </r>
  <r>
    <x v="893"/>
    <x v="317"/>
    <s v="Corporate"/>
    <x v="1"/>
    <x v="2"/>
    <x v="2"/>
    <x v="889"/>
    <n v="6"/>
    <n v="0"/>
    <x v="893"/>
  </r>
  <r>
    <x v="894"/>
    <x v="176"/>
    <s v="Corporate"/>
    <x v="3"/>
    <x v="1"/>
    <x v="6"/>
    <x v="890"/>
    <n v="10"/>
    <n v="0.1"/>
    <x v="894"/>
  </r>
  <r>
    <x v="895"/>
    <x v="240"/>
    <s v="Consumer"/>
    <x v="0"/>
    <x v="0"/>
    <x v="5"/>
    <x v="891"/>
    <n v="2"/>
    <n v="0.15"/>
    <x v="895"/>
  </r>
  <r>
    <x v="896"/>
    <x v="318"/>
    <s v="Corporate"/>
    <x v="3"/>
    <x v="2"/>
    <x v="5"/>
    <x v="892"/>
    <n v="10"/>
    <n v="0.15"/>
    <x v="896"/>
  </r>
  <r>
    <x v="897"/>
    <x v="179"/>
    <s v="Corporate"/>
    <x v="2"/>
    <x v="2"/>
    <x v="6"/>
    <x v="893"/>
    <n v="1"/>
    <n v="0.15"/>
    <x v="897"/>
  </r>
  <r>
    <x v="898"/>
    <x v="17"/>
    <s v="Corporate"/>
    <x v="2"/>
    <x v="0"/>
    <x v="1"/>
    <x v="894"/>
    <n v="3"/>
    <n v="0.05"/>
    <x v="898"/>
  </r>
  <r>
    <x v="899"/>
    <x v="129"/>
    <s v="Home Office"/>
    <x v="2"/>
    <x v="2"/>
    <x v="0"/>
    <x v="895"/>
    <n v="7"/>
    <n v="0.15"/>
    <x v="899"/>
  </r>
  <r>
    <x v="900"/>
    <x v="264"/>
    <s v="Consumer"/>
    <x v="3"/>
    <x v="1"/>
    <x v="2"/>
    <x v="896"/>
    <n v="7"/>
    <n v="0.15"/>
    <x v="900"/>
  </r>
  <r>
    <x v="901"/>
    <x v="24"/>
    <s v="Consumer"/>
    <x v="2"/>
    <x v="1"/>
    <x v="1"/>
    <x v="897"/>
    <n v="3"/>
    <n v="0.15"/>
    <x v="901"/>
  </r>
  <r>
    <x v="902"/>
    <x v="253"/>
    <s v="Consumer"/>
    <x v="3"/>
    <x v="0"/>
    <x v="3"/>
    <x v="898"/>
    <n v="2"/>
    <n v="0"/>
    <x v="902"/>
  </r>
  <r>
    <x v="903"/>
    <x v="249"/>
    <s v="Corporate"/>
    <x v="1"/>
    <x v="0"/>
    <x v="4"/>
    <x v="899"/>
    <n v="4"/>
    <n v="0.15"/>
    <x v="903"/>
  </r>
  <r>
    <x v="904"/>
    <x v="211"/>
    <s v="Home Office"/>
    <x v="0"/>
    <x v="0"/>
    <x v="5"/>
    <x v="900"/>
    <n v="7"/>
    <n v="0.05"/>
    <x v="904"/>
  </r>
  <r>
    <x v="905"/>
    <x v="274"/>
    <s v="Consumer"/>
    <x v="3"/>
    <x v="0"/>
    <x v="4"/>
    <x v="901"/>
    <n v="10"/>
    <n v="0.1"/>
    <x v="905"/>
  </r>
  <r>
    <x v="906"/>
    <x v="53"/>
    <s v="Home Office"/>
    <x v="2"/>
    <x v="0"/>
    <x v="6"/>
    <x v="902"/>
    <n v="10"/>
    <n v="0.05"/>
    <x v="906"/>
  </r>
  <r>
    <x v="907"/>
    <x v="175"/>
    <s v="Home Office"/>
    <x v="3"/>
    <x v="2"/>
    <x v="2"/>
    <x v="903"/>
    <n v="8"/>
    <n v="0"/>
    <x v="907"/>
  </r>
  <r>
    <x v="908"/>
    <x v="318"/>
    <s v="Corporate"/>
    <x v="2"/>
    <x v="1"/>
    <x v="2"/>
    <x v="904"/>
    <n v="4"/>
    <n v="0.05"/>
    <x v="908"/>
  </r>
  <r>
    <x v="909"/>
    <x v="276"/>
    <s v="Corporate"/>
    <x v="2"/>
    <x v="1"/>
    <x v="6"/>
    <x v="905"/>
    <n v="6"/>
    <n v="0"/>
    <x v="909"/>
  </r>
  <r>
    <x v="910"/>
    <x v="50"/>
    <s v="Consumer"/>
    <x v="1"/>
    <x v="1"/>
    <x v="0"/>
    <x v="906"/>
    <n v="7"/>
    <n v="0"/>
    <x v="910"/>
  </r>
  <r>
    <x v="911"/>
    <x v="41"/>
    <s v="Consumer"/>
    <x v="1"/>
    <x v="2"/>
    <x v="0"/>
    <x v="907"/>
    <n v="5"/>
    <n v="0.05"/>
    <x v="911"/>
  </r>
  <r>
    <x v="912"/>
    <x v="316"/>
    <s v="Consumer"/>
    <x v="1"/>
    <x v="0"/>
    <x v="0"/>
    <x v="908"/>
    <n v="10"/>
    <n v="0.05"/>
    <x v="912"/>
  </r>
  <r>
    <x v="913"/>
    <x v="269"/>
    <s v="Consumer"/>
    <x v="2"/>
    <x v="1"/>
    <x v="6"/>
    <x v="909"/>
    <n v="5"/>
    <n v="0.15"/>
    <x v="913"/>
  </r>
  <r>
    <x v="914"/>
    <x v="61"/>
    <s v="Home Office"/>
    <x v="2"/>
    <x v="1"/>
    <x v="0"/>
    <x v="910"/>
    <n v="2"/>
    <n v="0.1"/>
    <x v="914"/>
  </r>
  <r>
    <x v="915"/>
    <x v="136"/>
    <s v="Corporate"/>
    <x v="3"/>
    <x v="2"/>
    <x v="5"/>
    <x v="911"/>
    <n v="7"/>
    <n v="0.1"/>
    <x v="915"/>
  </r>
  <r>
    <x v="916"/>
    <x v="198"/>
    <s v="Home Office"/>
    <x v="3"/>
    <x v="1"/>
    <x v="0"/>
    <x v="912"/>
    <n v="1"/>
    <n v="0"/>
    <x v="916"/>
  </r>
  <r>
    <x v="917"/>
    <x v="131"/>
    <s v="Home Office"/>
    <x v="1"/>
    <x v="0"/>
    <x v="2"/>
    <x v="913"/>
    <n v="10"/>
    <n v="0.05"/>
    <x v="917"/>
  </r>
  <r>
    <x v="918"/>
    <x v="149"/>
    <s v="Corporate"/>
    <x v="0"/>
    <x v="0"/>
    <x v="4"/>
    <x v="651"/>
    <n v="4"/>
    <n v="0.1"/>
    <x v="918"/>
  </r>
  <r>
    <x v="919"/>
    <x v="249"/>
    <s v="Home Office"/>
    <x v="0"/>
    <x v="2"/>
    <x v="5"/>
    <x v="914"/>
    <n v="1"/>
    <n v="0.05"/>
    <x v="919"/>
  </r>
  <r>
    <x v="920"/>
    <x v="297"/>
    <s v="Consumer"/>
    <x v="2"/>
    <x v="0"/>
    <x v="4"/>
    <x v="915"/>
    <n v="2"/>
    <n v="0.15"/>
    <x v="920"/>
  </r>
  <r>
    <x v="921"/>
    <x v="319"/>
    <s v="Corporate"/>
    <x v="2"/>
    <x v="1"/>
    <x v="4"/>
    <x v="916"/>
    <n v="9"/>
    <n v="0.1"/>
    <x v="921"/>
  </r>
  <r>
    <x v="922"/>
    <x v="192"/>
    <s v="Consumer"/>
    <x v="1"/>
    <x v="2"/>
    <x v="4"/>
    <x v="917"/>
    <n v="5"/>
    <n v="0.1"/>
    <x v="922"/>
  </r>
  <r>
    <x v="923"/>
    <x v="83"/>
    <s v="Corporate"/>
    <x v="0"/>
    <x v="0"/>
    <x v="2"/>
    <x v="918"/>
    <n v="10"/>
    <n v="0.05"/>
    <x v="923"/>
  </r>
  <r>
    <x v="924"/>
    <x v="68"/>
    <s v="Consumer"/>
    <x v="2"/>
    <x v="2"/>
    <x v="5"/>
    <x v="919"/>
    <n v="7"/>
    <n v="0"/>
    <x v="924"/>
  </r>
  <r>
    <x v="925"/>
    <x v="320"/>
    <s v="Consumer"/>
    <x v="2"/>
    <x v="0"/>
    <x v="1"/>
    <x v="920"/>
    <n v="9"/>
    <n v="0.15"/>
    <x v="925"/>
  </r>
  <r>
    <x v="926"/>
    <x v="213"/>
    <s v="Corporate"/>
    <x v="1"/>
    <x v="2"/>
    <x v="5"/>
    <x v="921"/>
    <n v="6"/>
    <n v="0.15"/>
    <x v="926"/>
  </r>
  <r>
    <x v="927"/>
    <x v="174"/>
    <s v="Home Office"/>
    <x v="2"/>
    <x v="2"/>
    <x v="2"/>
    <x v="922"/>
    <n v="6"/>
    <n v="0.1"/>
    <x v="927"/>
  </r>
  <r>
    <x v="928"/>
    <x v="91"/>
    <s v="Consumer"/>
    <x v="2"/>
    <x v="0"/>
    <x v="5"/>
    <x v="923"/>
    <n v="2"/>
    <n v="0.05"/>
    <x v="928"/>
  </r>
  <r>
    <x v="929"/>
    <x v="315"/>
    <s v="Corporate"/>
    <x v="1"/>
    <x v="1"/>
    <x v="2"/>
    <x v="924"/>
    <n v="2"/>
    <n v="0.05"/>
    <x v="929"/>
  </r>
  <r>
    <x v="930"/>
    <x v="135"/>
    <s v="Consumer"/>
    <x v="1"/>
    <x v="1"/>
    <x v="0"/>
    <x v="925"/>
    <n v="7"/>
    <n v="0.05"/>
    <x v="930"/>
  </r>
  <r>
    <x v="931"/>
    <x v="166"/>
    <s v="Home Office"/>
    <x v="2"/>
    <x v="2"/>
    <x v="3"/>
    <x v="926"/>
    <n v="4"/>
    <n v="0.05"/>
    <x v="931"/>
  </r>
  <r>
    <x v="932"/>
    <x v="288"/>
    <s v="Corporate"/>
    <x v="3"/>
    <x v="0"/>
    <x v="4"/>
    <x v="927"/>
    <n v="1"/>
    <n v="0"/>
    <x v="932"/>
  </r>
  <r>
    <x v="933"/>
    <x v="282"/>
    <s v="Consumer"/>
    <x v="2"/>
    <x v="0"/>
    <x v="4"/>
    <x v="928"/>
    <n v="5"/>
    <n v="0.05"/>
    <x v="933"/>
  </r>
  <r>
    <x v="934"/>
    <x v="304"/>
    <s v="Consumer"/>
    <x v="2"/>
    <x v="1"/>
    <x v="2"/>
    <x v="929"/>
    <n v="3"/>
    <n v="0"/>
    <x v="934"/>
  </r>
  <r>
    <x v="935"/>
    <x v="268"/>
    <s v="Consumer"/>
    <x v="3"/>
    <x v="0"/>
    <x v="1"/>
    <x v="930"/>
    <n v="6"/>
    <n v="0.05"/>
    <x v="935"/>
  </r>
  <r>
    <x v="936"/>
    <x v="102"/>
    <s v="Corporate"/>
    <x v="2"/>
    <x v="1"/>
    <x v="4"/>
    <x v="931"/>
    <n v="10"/>
    <n v="0.1"/>
    <x v="936"/>
  </r>
  <r>
    <x v="937"/>
    <x v="128"/>
    <s v="Corporate"/>
    <x v="0"/>
    <x v="2"/>
    <x v="0"/>
    <x v="932"/>
    <n v="6"/>
    <n v="0.15"/>
    <x v="937"/>
  </r>
  <r>
    <x v="938"/>
    <x v="55"/>
    <s v="Home Office"/>
    <x v="1"/>
    <x v="0"/>
    <x v="3"/>
    <x v="933"/>
    <n v="5"/>
    <n v="0.1"/>
    <x v="938"/>
  </r>
  <r>
    <x v="939"/>
    <x v="0"/>
    <s v="Home Office"/>
    <x v="3"/>
    <x v="2"/>
    <x v="3"/>
    <x v="934"/>
    <n v="6"/>
    <n v="0.15"/>
    <x v="939"/>
  </r>
  <r>
    <x v="940"/>
    <x v="53"/>
    <s v="Home Office"/>
    <x v="2"/>
    <x v="2"/>
    <x v="6"/>
    <x v="935"/>
    <n v="1"/>
    <n v="0"/>
    <x v="940"/>
  </r>
  <r>
    <x v="941"/>
    <x v="69"/>
    <s v="Consumer"/>
    <x v="1"/>
    <x v="1"/>
    <x v="0"/>
    <x v="936"/>
    <n v="2"/>
    <n v="0.05"/>
    <x v="941"/>
  </r>
  <r>
    <x v="942"/>
    <x v="169"/>
    <s v="Home Office"/>
    <x v="1"/>
    <x v="1"/>
    <x v="3"/>
    <x v="937"/>
    <n v="6"/>
    <n v="0.1"/>
    <x v="942"/>
  </r>
  <r>
    <x v="943"/>
    <x v="73"/>
    <s v="Home Office"/>
    <x v="1"/>
    <x v="1"/>
    <x v="2"/>
    <x v="938"/>
    <n v="1"/>
    <n v="0.15"/>
    <x v="943"/>
  </r>
  <r>
    <x v="944"/>
    <x v="99"/>
    <s v="Home Office"/>
    <x v="0"/>
    <x v="1"/>
    <x v="1"/>
    <x v="939"/>
    <n v="8"/>
    <n v="0"/>
    <x v="944"/>
  </r>
  <r>
    <x v="945"/>
    <x v="196"/>
    <s v="Home Office"/>
    <x v="0"/>
    <x v="0"/>
    <x v="0"/>
    <x v="940"/>
    <n v="1"/>
    <n v="0.1"/>
    <x v="945"/>
  </r>
  <r>
    <x v="946"/>
    <x v="66"/>
    <s v="Consumer"/>
    <x v="0"/>
    <x v="1"/>
    <x v="6"/>
    <x v="941"/>
    <n v="6"/>
    <n v="0"/>
    <x v="946"/>
  </r>
  <r>
    <x v="947"/>
    <x v="91"/>
    <s v="Home Office"/>
    <x v="3"/>
    <x v="1"/>
    <x v="5"/>
    <x v="942"/>
    <n v="6"/>
    <n v="0.1"/>
    <x v="947"/>
  </r>
  <r>
    <x v="948"/>
    <x v="294"/>
    <s v="Corporate"/>
    <x v="3"/>
    <x v="1"/>
    <x v="3"/>
    <x v="943"/>
    <n v="8"/>
    <n v="0"/>
    <x v="948"/>
  </r>
  <r>
    <x v="949"/>
    <x v="239"/>
    <s v="Corporate"/>
    <x v="2"/>
    <x v="2"/>
    <x v="6"/>
    <x v="944"/>
    <n v="4"/>
    <n v="0"/>
    <x v="949"/>
  </r>
  <r>
    <x v="950"/>
    <x v="67"/>
    <s v="Corporate"/>
    <x v="3"/>
    <x v="0"/>
    <x v="3"/>
    <x v="945"/>
    <n v="8"/>
    <n v="0.1"/>
    <x v="950"/>
  </r>
  <r>
    <x v="951"/>
    <x v="321"/>
    <s v="Corporate"/>
    <x v="1"/>
    <x v="1"/>
    <x v="6"/>
    <x v="946"/>
    <n v="3"/>
    <n v="0.1"/>
    <x v="951"/>
  </r>
  <r>
    <x v="952"/>
    <x v="155"/>
    <s v="Corporate"/>
    <x v="2"/>
    <x v="2"/>
    <x v="0"/>
    <x v="947"/>
    <n v="10"/>
    <n v="0"/>
    <x v="952"/>
  </r>
  <r>
    <x v="953"/>
    <x v="242"/>
    <s v="Corporate"/>
    <x v="2"/>
    <x v="2"/>
    <x v="0"/>
    <x v="948"/>
    <n v="9"/>
    <n v="0"/>
    <x v="953"/>
  </r>
  <r>
    <x v="954"/>
    <x v="270"/>
    <s v="Corporate"/>
    <x v="3"/>
    <x v="0"/>
    <x v="4"/>
    <x v="949"/>
    <n v="10"/>
    <n v="0.1"/>
    <x v="954"/>
  </r>
  <r>
    <x v="955"/>
    <x v="24"/>
    <s v="Home Office"/>
    <x v="2"/>
    <x v="1"/>
    <x v="6"/>
    <x v="950"/>
    <n v="3"/>
    <n v="0.1"/>
    <x v="955"/>
  </r>
  <r>
    <x v="956"/>
    <x v="255"/>
    <s v="Home Office"/>
    <x v="2"/>
    <x v="0"/>
    <x v="4"/>
    <x v="951"/>
    <n v="2"/>
    <n v="0.05"/>
    <x v="956"/>
  </r>
  <r>
    <x v="957"/>
    <x v="0"/>
    <s v="Consumer"/>
    <x v="0"/>
    <x v="2"/>
    <x v="4"/>
    <x v="952"/>
    <n v="4"/>
    <n v="0.05"/>
    <x v="957"/>
  </r>
  <r>
    <x v="958"/>
    <x v="206"/>
    <s v="Corporate"/>
    <x v="3"/>
    <x v="1"/>
    <x v="1"/>
    <x v="953"/>
    <n v="5"/>
    <n v="0"/>
    <x v="958"/>
  </r>
  <r>
    <x v="959"/>
    <x v="201"/>
    <s v="Home Office"/>
    <x v="3"/>
    <x v="2"/>
    <x v="4"/>
    <x v="954"/>
    <n v="2"/>
    <n v="0.05"/>
    <x v="959"/>
  </r>
  <r>
    <x v="960"/>
    <x v="169"/>
    <s v="Corporate"/>
    <x v="0"/>
    <x v="2"/>
    <x v="1"/>
    <x v="955"/>
    <n v="7"/>
    <n v="0"/>
    <x v="960"/>
  </r>
  <r>
    <x v="961"/>
    <x v="114"/>
    <s v="Consumer"/>
    <x v="0"/>
    <x v="2"/>
    <x v="6"/>
    <x v="956"/>
    <n v="1"/>
    <n v="0.05"/>
    <x v="961"/>
  </r>
  <r>
    <x v="962"/>
    <x v="296"/>
    <s v="Home Office"/>
    <x v="3"/>
    <x v="2"/>
    <x v="0"/>
    <x v="957"/>
    <n v="7"/>
    <n v="0.1"/>
    <x v="962"/>
  </r>
  <r>
    <x v="963"/>
    <x v="248"/>
    <s v="Corporate"/>
    <x v="0"/>
    <x v="1"/>
    <x v="3"/>
    <x v="958"/>
    <n v="5"/>
    <n v="0.15"/>
    <x v="963"/>
  </r>
  <r>
    <x v="964"/>
    <x v="103"/>
    <s v="Consumer"/>
    <x v="2"/>
    <x v="1"/>
    <x v="2"/>
    <x v="959"/>
    <n v="4"/>
    <n v="0"/>
    <x v="964"/>
  </r>
  <r>
    <x v="965"/>
    <x v="271"/>
    <s v="Consumer"/>
    <x v="0"/>
    <x v="0"/>
    <x v="2"/>
    <x v="960"/>
    <n v="8"/>
    <n v="0.15"/>
    <x v="965"/>
  </r>
  <r>
    <x v="966"/>
    <x v="219"/>
    <s v="Consumer"/>
    <x v="3"/>
    <x v="2"/>
    <x v="5"/>
    <x v="961"/>
    <n v="7"/>
    <n v="0.1"/>
    <x v="966"/>
  </r>
  <r>
    <x v="967"/>
    <x v="206"/>
    <s v="Corporate"/>
    <x v="1"/>
    <x v="1"/>
    <x v="6"/>
    <x v="962"/>
    <n v="7"/>
    <n v="0.1"/>
    <x v="967"/>
  </r>
  <r>
    <x v="968"/>
    <x v="101"/>
    <s v="Consumer"/>
    <x v="0"/>
    <x v="2"/>
    <x v="5"/>
    <x v="963"/>
    <n v="1"/>
    <n v="0.05"/>
    <x v="968"/>
  </r>
  <r>
    <x v="969"/>
    <x v="317"/>
    <s v="Home Office"/>
    <x v="3"/>
    <x v="1"/>
    <x v="1"/>
    <x v="964"/>
    <n v="3"/>
    <n v="0"/>
    <x v="969"/>
  </r>
  <r>
    <x v="970"/>
    <x v="269"/>
    <s v="Consumer"/>
    <x v="2"/>
    <x v="2"/>
    <x v="5"/>
    <x v="965"/>
    <n v="2"/>
    <n v="0"/>
    <x v="970"/>
  </r>
  <r>
    <x v="971"/>
    <x v="322"/>
    <s v="Home Office"/>
    <x v="3"/>
    <x v="1"/>
    <x v="1"/>
    <x v="966"/>
    <n v="6"/>
    <n v="0"/>
    <x v="971"/>
  </r>
  <r>
    <x v="972"/>
    <x v="43"/>
    <s v="Home Office"/>
    <x v="0"/>
    <x v="2"/>
    <x v="2"/>
    <x v="967"/>
    <n v="2"/>
    <n v="0.05"/>
    <x v="972"/>
  </r>
  <r>
    <x v="973"/>
    <x v="227"/>
    <s v="Corporate"/>
    <x v="1"/>
    <x v="0"/>
    <x v="4"/>
    <x v="968"/>
    <n v="2"/>
    <n v="0"/>
    <x v="973"/>
  </r>
  <r>
    <x v="974"/>
    <x v="66"/>
    <s v="Home Office"/>
    <x v="1"/>
    <x v="1"/>
    <x v="2"/>
    <x v="969"/>
    <n v="2"/>
    <n v="0"/>
    <x v="974"/>
  </r>
  <r>
    <x v="975"/>
    <x v="163"/>
    <s v="Consumer"/>
    <x v="2"/>
    <x v="1"/>
    <x v="5"/>
    <x v="970"/>
    <n v="3"/>
    <n v="0.1"/>
    <x v="975"/>
  </r>
  <r>
    <x v="976"/>
    <x v="128"/>
    <s v="Consumer"/>
    <x v="2"/>
    <x v="0"/>
    <x v="2"/>
    <x v="971"/>
    <n v="2"/>
    <n v="0.05"/>
    <x v="976"/>
  </r>
  <r>
    <x v="977"/>
    <x v="122"/>
    <s v="Corporate"/>
    <x v="1"/>
    <x v="1"/>
    <x v="1"/>
    <x v="972"/>
    <n v="9"/>
    <n v="0.1"/>
    <x v="977"/>
  </r>
  <r>
    <x v="978"/>
    <x v="85"/>
    <s v="Corporate"/>
    <x v="0"/>
    <x v="0"/>
    <x v="3"/>
    <x v="973"/>
    <n v="2"/>
    <n v="0.15"/>
    <x v="978"/>
  </r>
  <r>
    <x v="979"/>
    <x v="90"/>
    <s v="Home Office"/>
    <x v="0"/>
    <x v="1"/>
    <x v="2"/>
    <x v="974"/>
    <n v="4"/>
    <n v="0.15"/>
    <x v="979"/>
  </r>
  <r>
    <x v="980"/>
    <x v="202"/>
    <s v="Home Office"/>
    <x v="2"/>
    <x v="1"/>
    <x v="6"/>
    <x v="975"/>
    <n v="6"/>
    <n v="0.1"/>
    <x v="980"/>
  </r>
  <r>
    <x v="981"/>
    <x v="149"/>
    <s v="Home Office"/>
    <x v="1"/>
    <x v="2"/>
    <x v="6"/>
    <x v="976"/>
    <n v="2"/>
    <n v="0.1"/>
    <x v="981"/>
  </r>
  <r>
    <x v="982"/>
    <x v="37"/>
    <s v="Home Office"/>
    <x v="0"/>
    <x v="2"/>
    <x v="5"/>
    <x v="977"/>
    <n v="3"/>
    <n v="0.15"/>
    <x v="982"/>
  </r>
  <r>
    <x v="983"/>
    <x v="201"/>
    <s v="Corporate"/>
    <x v="2"/>
    <x v="1"/>
    <x v="3"/>
    <x v="978"/>
    <n v="4"/>
    <n v="0"/>
    <x v="983"/>
  </r>
  <r>
    <x v="984"/>
    <x v="48"/>
    <s v="Home Office"/>
    <x v="3"/>
    <x v="2"/>
    <x v="4"/>
    <x v="979"/>
    <n v="10"/>
    <n v="0"/>
    <x v="984"/>
  </r>
  <r>
    <x v="985"/>
    <x v="264"/>
    <s v="Home Office"/>
    <x v="2"/>
    <x v="0"/>
    <x v="3"/>
    <x v="980"/>
    <n v="6"/>
    <n v="0.05"/>
    <x v="985"/>
  </r>
  <r>
    <x v="986"/>
    <x v="83"/>
    <s v="Home Office"/>
    <x v="3"/>
    <x v="0"/>
    <x v="2"/>
    <x v="981"/>
    <n v="3"/>
    <n v="0.15"/>
    <x v="986"/>
  </r>
  <r>
    <x v="987"/>
    <x v="320"/>
    <s v="Home Office"/>
    <x v="0"/>
    <x v="0"/>
    <x v="2"/>
    <x v="982"/>
    <n v="9"/>
    <n v="0.15"/>
    <x v="987"/>
  </r>
  <r>
    <x v="988"/>
    <x v="29"/>
    <s v="Consumer"/>
    <x v="2"/>
    <x v="1"/>
    <x v="2"/>
    <x v="983"/>
    <n v="8"/>
    <n v="0.15"/>
    <x v="988"/>
  </r>
  <r>
    <x v="989"/>
    <x v="51"/>
    <s v="Consumer"/>
    <x v="2"/>
    <x v="0"/>
    <x v="5"/>
    <x v="984"/>
    <n v="7"/>
    <n v="0.15"/>
    <x v="989"/>
  </r>
  <r>
    <x v="990"/>
    <x v="312"/>
    <s v="Home Office"/>
    <x v="2"/>
    <x v="1"/>
    <x v="2"/>
    <x v="985"/>
    <n v="3"/>
    <n v="0.05"/>
    <x v="990"/>
  </r>
  <r>
    <x v="991"/>
    <x v="245"/>
    <s v="Corporate"/>
    <x v="3"/>
    <x v="0"/>
    <x v="6"/>
    <x v="986"/>
    <n v="6"/>
    <n v="0.1"/>
    <x v="991"/>
  </r>
  <r>
    <x v="992"/>
    <x v="238"/>
    <s v="Corporate"/>
    <x v="1"/>
    <x v="1"/>
    <x v="3"/>
    <x v="987"/>
    <n v="4"/>
    <n v="0"/>
    <x v="992"/>
  </r>
  <r>
    <x v="993"/>
    <x v="243"/>
    <s v="Home Office"/>
    <x v="2"/>
    <x v="2"/>
    <x v="5"/>
    <x v="988"/>
    <n v="10"/>
    <n v="0.1"/>
    <x v="993"/>
  </r>
  <r>
    <x v="994"/>
    <x v="53"/>
    <s v="Home Office"/>
    <x v="2"/>
    <x v="1"/>
    <x v="6"/>
    <x v="989"/>
    <n v="9"/>
    <n v="0.1"/>
    <x v="994"/>
  </r>
  <r>
    <x v="995"/>
    <x v="176"/>
    <s v="Corporate"/>
    <x v="0"/>
    <x v="1"/>
    <x v="3"/>
    <x v="990"/>
    <n v="3"/>
    <n v="0.1"/>
    <x v="995"/>
  </r>
  <r>
    <x v="996"/>
    <x v="282"/>
    <s v="Home Office"/>
    <x v="1"/>
    <x v="2"/>
    <x v="2"/>
    <x v="991"/>
    <n v="5"/>
    <n v="0.1"/>
    <x v="996"/>
  </r>
  <r>
    <x v="997"/>
    <x v="201"/>
    <s v="Consumer"/>
    <x v="2"/>
    <x v="1"/>
    <x v="4"/>
    <x v="992"/>
    <n v="2"/>
    <n v="0"/>
    <x v="997"/>
  </r>
  <r>
    <x v="998"/>
    <x v="190"/>
    <s v="Corporate"/>
    <x v="3"/>
    <x v="1"/>
    <x v="3"/>
    <x v="993"/>
    <n v="2"/>
    <n v="0.1"/>
    <x v="998"/>
  </r>
  <r>
    <x v="999"/>
    <x v="261"/>
    <s v="Corporate"/>
    <x v="3"/>
    <x v="1"/>
    <x v="4"/>
    <x v="994"/>
    <n v="9"/>
    <n v="0.05"/>
    <x v="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5C28C0-103A-4BCB-972A-124BF8A299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2">
    <pivotField showAll="0"/>
    <pivotField numFmtId="164" showAll="0">
      <items count="324">
        <item x="135"/>
        <item x="316"/>
        <item x="70"/>
        <item x="171"/>
        <item x="195"/>
        <item x="239"/>
        <item x="263"/>
        <item x="256"/>
        <item x="153"/>
        <item x="47"/>
        <item x="51"/>
        <item x="280"/>
        <item x="27"/>
        <item x="255"/>
        <item x="277"/>
        <item x="151"/>
        <item x="219"/>
        <item x="159"/>
        <item x="30"/>
        <item x="241"/>
        <item x="175"/>
        <item x="142"/>
        <item x="89"/>
        <item x="160"/>
        <item x="81"/>
        <item x="303"/>
        <item x="234"/>
        <item x="145"/>
        <item x="218"/>
        <item x="231"/>
        <item x="92"/>
        <item x="232"/>
        <item x="17"/>
        <item x="209"/>
        <item x="272"/>
        <item x="300"/>
        <item x="285"/>
        <item x="52"/>
        <item x="293"/>
        <item x="64"/>
        <item x="197"/>
        <item x="98"/>
        <item x="41"/>
        <item x="259"/>
        <item x="11"/>
        <item x="117"/>
        <item x="284"/>
        <item x="45"/>
        <item x="273"/>
        <item x="298"/>
        <item x="189"/>
        <item x="101"/>
        <item x="31"/>
        <item x="146"/>
        <item x="95"/>
        <item x="65"/>
        <item x="7"/>
        <item x="187"/>
        <item x="173"/>
        <item x="238"/>
        <item x="78"/>
        <item x="136"/>
        <item x="124"/>
        <item x="140"/>
        <item x="75"/>
        <item x="271"/>
        <item x="289"/>
        <item x="28"/>
        <item x="20"/>
        <item x="91"/>
        <item x="182"/>
        <item x="291"/>
        <item x="103"/>
        <item x="36"/>
        <item x="210"/>
        <item x="262"/>
        <item x="282"/>
        <item x="240"/>
        <item x="73"/>
        <item x="250"/>
        <item x="130"/>
        <item x="276"/>
        <item x="176"/>
        <item x="61"/>
        <item x="121"/>
        <item x="34"/>
        <item x="222"/>
        <item x="44"/>
        <item x="278"/>
        <item x="93"/>
        <item x="2"/>
        <item x="88"/>
        <item x="23"/>
        <item x="169"/>
        <item x="97"/>
        <item x="305"/>
        <item x="128"/>
        <item x="208"/>
        <item x="53"/>
        <item x="288"/>
        <item x="105"/>
        <item x="157"/>
        <item x="125"/>
        <item x="216"/>
        <item x="119"/>
        <item x="319"/>
        <item x="314"/>
        <item x="1"/>
        <item x="84"/>
        <item x="307"/>
        <item x="29"/>
        <item x="71"/>
        <item x="177"/>
        <item x="3"/>
        <item x="152"/>
        <item x="109"/>
        <item x="168"/>
        <item x="230"/>
        <item x="212"/>
        <item x="137"/>
        <item x="249"/>
        <item x="183"/>
        <item x="21"/>
        <item x="233"/>
        <item x="174"/>
        <item x="226"/>
        <item x="237"/>
        <item x="203"/>
        <item x="18"/>
        <item x="202"/>
        <item x="215"/>
        <item x="243"/>
        <item x="221"/>
        <item x="268"/>
        <item x="57"/>
        <item x="290"/>
        <item x="80"/>
        <item x="132"/>
        <item x="254"/>
        <item x="99"/>
        <item x="199"/>
        <item x="223"/>
        <item x="8"/>
        <item x="248"/>
        <item x="252"/>
        <item x="15"/>
        <item x="244"/>
        <item x="206"/>
        <item x="112"/>
        <item x="204"/>
        <item x="25"/>
        <item x="158"/>
        <item x="60"/>
        <item x="296"/>
        <item x="299"/>
        <item x="166"/>
        <item x="90"/>
        <item x="304"/>
        <item x="214"/>
        <item x="253"/>
        <item x="143"/>
        <item x="283"/>
        <item x="19"/>
        <item x="251"/>
        <item x="185"/>
        <item x="127"/>
        <item x="172"/>
        <item x="260"/>
        <item x="85"/>
        <item x="10"/>
        <item x="161"/>
        <item x="0"/>
        <item x="245"/>
        <item x="96"/>
        <item x="114"/>
        <item x="72"/>
        <item x="236"/>
        <item x="77"/>
        <item x="150"/>
        <item x="180"/>
        <item x="14"/>
        <item x="86"/>
        <item x="110"/>
        <item x="179"/>
        <item x="311"/>
        <item x="167"/>
        <item x="281"/>
        <item x="181"/>
        <item x="12"/>
        <item x="111"/>
        <item x="261"/>
        <item x="39"/>
        <item x="196"/>
        <item x="258"/>
        <item x="257"/>
        <item x="63"/>
        <item x="116"/>
        <item x="213"/>
        <item x="297"/>
        <item x="322"/>
        <item x="37"/>
        <item x="149"/>
        <item x="62"/>
        <item x="292"/>
        <item x="46"/>
        <item x="120"/>
        <item x="32"/>
        <item x="106"/>
        <item x="9"/>
        <item x="5"/>
        <item x="178"/>
        <item x="217"/>
        <item x="104"/>
        <item x="224"/>
        <item x="229"/>
        <item x="247"/>
        <item x="26"/>
        <item x="242"/>
        <item x="320"/>
        <item x="33"/>
        <item x="270"/>
        <item x="83"/>
        <item x="123"/>
        <item x="186"/>
        <item x="228"/>
        <item x="313"/>
        <item x="59"/>
        <item x="190"/>
        <item x="126"/>
        <item x="16"/>
        <item x="79"/>
        <item x="275"/>
        <item x="310"/>
        <item x="155"/>
        <item x="102"/>
        <item x="42"/>
        <item x="76"/>
        <item x="148"/>
        <item x="68"/>
        <item x="118"/>
        <item x="309"/>
        <item x="265"/>
        <item x="108"/>
        <item x="38"/>
        <item x="6"/>
        <item x="50"/>
        <item x="163"/>
        <item x="87"/>
        <item x="312"/>
        <item x="191"/>
        <item x="170"/>
        <item x="306"/>
        <item x="192"/>
        <item x="198"/>
        <item x="67"/>
        <item x="35"/>
        <item x="287"/>
        <item x="211"/>
        <item x="13"/>
        <item x="164"/>
        <item x="131"/>
        <item x="4"/>
        <item x="113"/>
        <item x="138"/>
        <item x="188"/>
        <item x="49"/>
        <item x="58"/>
        <item x="94"/>
        <item x="294"/>
        <item x="286"/>
        <item x="264"/>
        <item x="69"/>
        <item x="100"/>
        <item x="308"/>
        <item x="207"/>
        <item x="246"/>
        <item x="141"/>
        <item x="201"/>
        <item x="162"/>
        <item x="301"/>
        <item x="133"/>
        <item x="200"/>
        <item x="295"/>
        <item x="107"/>
        <item x="302"/>
        <item x="267"/>
        <item x="269"/>
        <item x="144"/>
        <item x="40"/>
        <item x="220"/>
        <item x="82"/>
        <item x="74"/>
        <item x="122"/>
        <item x="193"/>
        <item x="66"/>
        <item x="115"/>
        <item x="194"/>
        <item x="227"/>
        <item x="56"/>
        <item x="274"/>
        <item x="129"/>
        <item x="22"/>
        <item x="225"/>
        <item x="43"/>
        <item x="24"/>
        <item x="321"/>
        <item x="205"/>
        <item x="134"/>
        <item x="55"/>
        <item x="318"/>
        <item x="279"/>
        <item x="154"/>
        <item x="54"/>
        <item x="317"/>
        <item x="147"/>
        <item x="266"/>
        <item x="139"/>
        <item x="184"/>
        <item x="48"/>
        <item x="235"/>
        <item x="315"/>
        <item x="156"/>
        <item x="165"/>
        <item t="default"/>
      </items>
    </pivotField>
    <pivotField showAll="0"/>
    <pivotField showAll="0"/>
    <pivotField axis="axisRow" showAll="0">
      <items count="4">
        <item x="0"/>
        <item x="1"/>
        <item x="2"/>
        <item t="default"/>
      </items>
    </pivotField>
    <pivotField showAll="0"/>
    <pivotField dataField="1" numFmtId="2" showAll="0">
      <items count="996">
        <item x="339"/>
        <item x="847"/>
        <item x="132"/>
        <item x="480"/>
        <item x="556"/>
        <item x="376"/>
        <item x="965"/>
        <item x="899"/>
        <item x="416"/>
        <item x="473"/>
        <item x="754"/>
        <item x="203"/>
        <item x="22"/>
        <item x="497"/>
        <item x="121"/>
        <item x="711"/>
        <item x="456"/>
        <item x="305"/>
        <item x="420"/>
        <item x="388"/>
        <item x="85"/>
        <item x="172"/>
        <item x="24"/>
        <item x="562"/>
        <item x="180"/>
        <item x="125"/>
        <item x="602"/>
        <item x="285"/>
        <item x="524"/>
        <item x="236"/>
        <item x="608"/>
        <item x="459"/>
        <item x="913"/>
        <item x="408"/>
        <item x="559"/>
        <item x="843"/>
        <item x="495"/>
        <item x="988"/>
        <item x="800"/>
        <item x="682"/>
        <item x="613"/>
        <item x="40"/>
        <item x="529"/>
        <item x="832"/>
        <item x="763"/>
        <item x="27"/>
        <item x="10"/>
        <item x="227"/>
        <item x="23"/>
        <item x="440"/>
        <item x="864"/>
        <item x="802"/>
        <item x="644"/>
        <item x="625"/>
        <item x="270"/>
        <item x="539"/>
        <item x="302"/>
        <item x="768"/>
        <item x="464"/>
        <item x="41"/>
        <item x="162"/>
        <item x="750"/>
        <item x="424"/>
        <item x="782"/>
        <item x="147"/>
        <item x="407"/>
        <item x="485"/>
        <item x="982"/>
        <item x="45"/>
        <item x="69"/>
        <item x="793"/>
        <item x="844"/>
        <item x="759"/>
        <item x="520"/>
        <item x="860"/>
        <item x="916"/>
        <item x="848"/>
        <item x="206"/>
        <item x="71"/>
        <item x="611"/>
        <item x="373"/>
        <item x="314"/>
        <item x="936"/>
        <item x="42"/>
        <item x="641"/>
        <item x="204"/>
        <item x="229"/>
        <item x="839"/>
        <item x="882"/>
        <item x="929"/>
        <item x="88"/>
        <item x="315"/>
        <item x="272"/>
        <item x="920"/>
        <item x="392"/>
        <item x="515"/>
        <item x="498"/>
        <item x="867"/>
        <item x="511"/>
        <item x="525"/>
        <item x="280"/>
        <item x="927"/>
        <item x="327"/>
        <item x="109"/>
        <item x="772"/>
        <item x="921"/>
        <item x="599"/>
        <item x="157"/>
        <item x="954"/>
        <item x="775"/>
        <item x="912"/>
        <item x="725"/>
        <item x="609"/>
        <item x="152"/>
        <item x="861"/>
        <item x="987"/>
        <item x="474"/>
        <item x="779"/>
        <item x="979"/>
        <item x="426"/>
        <item x="301"/>
        <item x="963"/>
        <item x="962"/>
        <item x="368"/>
        <item x="73"/>
        <item x="161"/>
        <item x="52"/>
        <item x="612"/>
        <item x="632"/>
        <item x="494"/>
        <item x="205"/>
        <item x="672"/>
        <item x="968"/>
        <item x="197"/>
        <item x="8"/>
        <item x="704"/>
        <item x="269"/>
        <item x="546"/>
        <item x="421"/>
        <item x="335"/>
        <item x="604"/>
        <item x="695"/>
        <item x="689"/>
        <item x="66"/>
        <item x="256"/>
        <item x="492"/>
        <item x="862"/>
        <item x="926"/>
        <item x="158"/>
        <item x="735"/>
        <item x="250"/>
        <item x="789"/>
        <item x="702"/>
        <item x="662"/>
        <item x="777"/>
        <item x="932"/>
        <item x="804"/>
        <item x="953"/>
        <item x="170"/>
        <item x="303"/>
        <item x="571"/>
        <item x="851"/>
        <item x="436"/>
        <item x="365"/>
        <item x="909"/>
        <item x="484"/>
        <item x="325"/>
        <item x="853"/>
        <item x="852"/>
        <item x="994"/>
        <item x="790"/>
        <item x="955"/>
        <item x="430"/>
        <item x="688"/>
        <item x="885"/>
        <item x="360"/>
        <item x="84"/>
        <item x="63"/>
        <item x="176"/>
        <item x="361"/>
        <item x="683"/>
        <item x="691"/>
        <item x="850"/>
        <item x="597"/>
        <item x="919"/>
        <item x="86"/>
        <item x="255"/>
        <item x="100"/>
        <item x="127"/>
        <item x="591"/>
        <item x="880"/>
        <item x="184"/>
        <item x="217"/>
        <item x="915"/>
        <item x="98"/>
        <item x="855"/>
        <item x="756"/>
        <item x="138"/>
        <item x="686"/>
        <item x="629"/>
        <item x="62"/>
        <item x="663"/>
        <item x="765"/>
        <item x="188"/>
        <item x="248"/>
        <item x="469"/>
        <item x="165"/>
        <item x="806"/>
        <item x="383"/>
        <item x="755"/>
        <item x="67"/>
        <item x="503"/>
        <item x="397"/>
        <item x="900"/>
        <item x="311"/>
        <item x="530"/>
        <item x="701"/>
        <item x="12"/>
        <item x="239"/>
        <item x="740"/>
        <item x="291"/>
        <item x="75"/>
        <item x="674"/>
        <item x="579"/>
        <item x="381"/>
        <item x="506"/>
        <item x="246"/>
        <item x="874"/>
        <item x="881"/>
        <item x="713"/>
        <item x="937"/>
        <item x="425"/>
        <item x="907"/>
        <item x="829"/>
        <item x="167"/>
        <item x="185"/>
        <item x="19"/>
        <item x="486"/>
        <item x="552"/>
        <item x="799"/>
        <item x="350"/>
        <item x="603"/>
        <item x="817"/>
        <item x="766"/>
        <item x="652"/>
        <item x="133"/>
        <item x="957"/>
        <item x="617"/>
        <item x="902"/>
        <item x="192"/>
        <item x="543"/>
        <item x="826"/>
        <item x="94"/>
        <item x="545"/>
        <item x="461"/>
        <item x="319"/>
        <item x="181"/>
        <item x="720"/>
        <item x="300"/>
        <item x="118"/>
        <item x="605"/>
        <item x="574"/>
        <item x="739"/>
        <item x="405"/>
        <item x="79"/>
        <item x="349"/>
        <item x="582"/>
        <item x="462"/>
        <item x="134"/>
        <item x="31"/>
        <item x="58"/>
        <item x="967"/>
        <item x="558"/>
        <item x="526"/>
        <item x="390"/>
        <item x="721"/>
        <item x="428"/>
        <item x="785"/>
        <item x="607"/>
        <item x="518"/>
        <item x="226"/>
        <item x="773"/>
        <item x="718"/>
        <item x="1"/>
        <item x="454"/>
        <item x="859"/>
        <item x="737"/>
        <item x="400"/>
        <item x="767"/>
        <item x="54"/>
        <item x="548"/>
        <item x="634"/>
        <item x="77"/>
        <item x="201"/>
        <item x="323"/>
        <item x="784"/>
        <item x="87"/>
        <item x="379"/>
        <item x="16"/>
        <item x="401"/>
        <item x="638"/>
        <item x="738"/>
        <item x="717"/>
        <item x="856"/>
        <item x="640"/>
        <item x="156"/>
        <item x="219"/>
        <item x="890"/>
        <item x="114"/>
        <item x="214"/>
        <item x="278"/>
        <item x="742"/>
        <item x="17"/>
        <item x="55"/>
        <item x="950"/>
        <item x="139"/>
        <item x="698"/>
        <item x="174"/>
        <item x="466"/>
        <item x="976"/>
        <item x="993"/>
        <item x="259"/>
        <item x="286"/>
        <item x="395"/>
        <item x="707"/>
        <item x="812"/>
        <item x="238"/>
        <item x="3"/>
        <item x="196"/>
        <item x="825"/>
        <item x="595"/>
        <item x="282"/>
        <item x="731"/>
        <item x="719"/>
        <item x="905"/>
        <item x="337"/>
        <item x="594"/>
        <item x="566"/>
        <item x="359"/>
        <item x="830"/>
        <item x="753"/>
        <item x="769"/>
        <item x="820"/>
        <item x="989"/>
        <item x="110"/>
        <item x="208"/>
        <item x="211"/>
        <item x="284"/>
        <item x="943"/>
        <item x="274"/>
        <item x="120"/>
        <item x="237"/>
        <item x="814"/>
        <item x="822"/>
        <item x="296"/>
        <item x="673"/>
        <item x="292"/>
        <item x="363"/>
        <item x="293"/>
        <item x="568"/>
        <item x="32"/>
        <item x="396"/>
        <item x="472"/>
        <item x="334"/>
        <item x="136"/>
        <item x="654"/>
        <item x="970"/>
        <item x="788"/>
        <item x="639"/>
        <item x="266"/>
        <item x="809"/>
        <item x="171"/>
        <item x="21"/>
        <item x="387"/>
        <item x="271"/>
        <item x="104"/>
        <item x="747"/>
        <item x="837"/>
        <item x="209"/>
        <item x="117"/>
        <item x="304"/>
        <item x="320"/>
        <item x="200"/>
        <item x="258"/>
        <item x="61"/>
        <item x="173"/>
        <item x="576"/>
        <item x="911"/>
        <item x="391"/>
        <item x="901"/>
        <item x="25"/>
        <item x="240"/>
        <item x="432"/>
        <item x="551"/>
        <item x="123"/>
        <item x="655"/>
        <item x="338"/>
        <item x="716"/>
        <item x="0"/>
        <item x="935"/>
        <item x="366"/>
        <item x="842"/>
        <item x="235"/>
        <item x="878"/>
        <item x="797"/>
        <item x="946"/>
        <item x="491"/>
        <item x="317"/>
        <item x="986"/>
        <item x="697"/>
        <item x="423"/>
        <item x="577"/>
        <item x="961"/>
        <item x="178"/>
        <item x="623"/>
        <item x="80"/>
        <item x="945"/>
        <item x="179"/>
        <item x="288"/>
        <item x="145"/>
        <item x="222"/>
        <item x="102"/>
        <item x="218"/>
        <item x="649"/>
        <item x="894"/>
        <item x="619"/>
        <item x="678"/>
        <item x="835"/>
        <item x="111"/>
        <item x="618"/>
        <item x="836"/>
        <item x="734"/>
        <item x="669"/>
        <item x="828"/>
        <item x="57"/>
        <item x="187"/>
        <item x="449"/>
        <item x="364"/>
        <item x="189"/>
        <item x="186"/>
        <item x="299"/>
        <item x="532"/>
        <item x="569"/>
        <item x="262"/>
        <item x="808"/>
        <item x="893"/>
        <item x="883"/>
        <item x="555"/>
        <item x="692"/>
        <item x="378"/>
        <item x="82"/>
        <item x="97"/>
        <item x="446"/>
        <item x="5"/>
        <item x="831"/>
        <item x="290"/>
        <item x="509"/>
        <item x="726"/>
        <item x="949"/>
        <item x="355"/>
        <item x="95"/>
        <item x="621"/>
        <item x="68"/>
        <item x="306"/>
        <item x="279"/>
        <item x="313"/>
        <item x="389"/>
        <item x="499"/>
        <item x="190"/>
        <item x="70"/>
        <item x="105"/>
        <item x="670"/>
        <item x="175"/>
        <item x="89"/>
        <item x="126"/>
        <item x="762"/>
        <item x="886"/>
        <item x="513"/>
        <item x="38"/>
        <item x="696"/>
        <item x="78"/>
        <item x="328"/>
        <item x="879"/>
        <item x="933"/>
        <item x="275"/>
        <item x="501"/>
        <item x="914"/>
        <item x="675"/>
        <item x="584"/>
        <item x="596"/>
        <item x="838"/>
        <item x="433"/>
        <item x="508"/>
        <item x="917"/>
        <item x="448"/>
        <item x="728"/>
        <item x="650"/>
        <item x="592"/>
        <item x="693"/>
        <item x="119"/>
        <item x="952"/>
        <item x="586"/>
        <item x="841"/>
        <item x="521"/>
        <item x="353"/>
        <item x="140"/>
        <item x="770"/>
        <item x="537"/>
        <item x="910"/>
        <item x="103"/>
        <item x="393"/>
        <item x="628"/>
        <item x="399"/>
        <item x="254"/>
        <item x="567"/>
        <item x="896"/>
        <item x="332"/>
        <item x="135"/>
        <item x="322"/>
        <item x="783"/>
        <item x="347"/>
        <item x="538"/>
        <item x="150"/>
        <item x="636"/>
        <item x="821"/>
        <item x="575"/>
        <item x="722"/>
        <item x="700"/>
        <item x="6"/>
        <item x="221"/>
        <item x="533"/>
        <item x="496"/>
        <item x="931"/>
        <item x="308"/>
        <item x="824"/>
        <item x="666"/>
        <item x="50"/>
        <item x="418"/>
        <item x="923"/>
        <item x="439"/>
        <item x="9"/>
        <item x="791"/>
        <item x="53"/>
        <item x="451"/>
        <item x="680"/>
        <item x="74"/>
        <item x="635"/>
        <item x="81"/>
        <item x="736"/>
        <item x="445"/>
        <item x="65"/>
        <item x="956"/>
        <item x="130"/>
        <item x="875"/>
        <item x="384"/>
        <item x="346"/>
        <item x="771"/>
        <item x="479"/>
        <item x="241"/>
        <item x="465"/>
        <item x="637"/>
        <item x="846"/>
        <item x="225"/>
        <item x="212"/>
        <item x="580"/>
        <item x="49"/>
        <item x="798"/>
        <item x="441"/>
        <item x="351"/>
        <item x="358"/>
        <item x="983"/>
        <item x="892"/>
        <item x="849"/>
        <item x="343"/>
        <item x="723"/>
        <item x="631"/>
        <item x="647"/>
        <item x="699"/>
        <item x="28"/>
        <item x="168"/>
        <item x="991"/>
        <item x="944"/>
        <item x="588"/>
        <item x="863"/>
        <item x="980"/>
        <item x="516"/>
        <item x="429"/>
        <item x="247"/>
        <item x="47"/>
        <item x="795"/>
        <item x="33"/>
        <item x="356"/>
        <item x="869"/>
        <item x="159"/>
        <item x="48"/>
        <item x="124"/>
        <item x="83"/>
        <item x="714"/>
        <item x="410"/>
        <item x="528"/>
        <item x="677"/>
        <item x="490"/>
        <item x="966"/>
        <item x="794"/>
        <item x="792"/>
        <item x="342"/>
        <item x="35"/>
        <item x="918"/>
        <item x="72"/>
        <item x="960"/>
        <item x="593"/>
        <item x="679"/>
        <item x="403"/>
        <item x="96"/>
        <item x="620"/>
        <item x="251"/>
        <item x="560"/>
        <item x="544"/>
        <item x="668"/>
        <item x="76"/>
        <item x="2"/>
        <item x="622"/>
        <item x="354"/>
        <item x="868"/>
        <item x="231"/>
        <item x="252"/>
        <item x="938"/>
        <item x="908"/>
        <item x="467"/>
        <item x="891"/>
        <item x="834"/>
        <item x="744"/>
        <item x="264"/>
        <item x="651"/>
        <item x="554"/>
        <item x="331"/>
        <item x="505"/>
        <item x="633"/>
        <item x="160"/>
        <item x="224"/>
        <item x="681"/>
        <item x="450"/>
        <item x="153"/>
        <item x="294"/>
        <item x="741"/>
        <item x="610"/>
        <item x="457"/>
        <item x="992"/>
        <item x="244"/>
        <item x="553"/>
        <item x="774"/>
        <item x="481"/>
        <item x="687"/>
        <item x="406"/>
        <item x="781"/>
        <item x="101"/>
        <item x="578"/>
        <item x="904"/>
        <item x="870"/>
        <item x="330"/>
        <item x="443"/>
        <item x="990"/>
        <item x="589"/>
        <item x="207"/>
        <item x="199"/>
        <item x="857"/>
        <item x="245"/>
        <item x="951"/>
        <item x="671"/>
        <item x="438"/>
        <item x="312"/>
        <item x="415"/>
        <item x="460"/>
        <item x="746"/>
        <item x="616"/>
        <item x="329"/>
        <item x="827"/>
        <item x="706"/>
        <item x="243"/>
        <item x="477"/>
        <item x="522"/>
        <item x="471"/>
        <item x="854"/>
        <item x="757"/>
        <item x="411"/>
        <item x="805"/>
        <item x="796"/>
        <item x="715"/>
        <item x="324"/>
        <item x="540"/>
        <item x="385"/>
        <item x="642"/>
        <item x="34"/>
        <item x="345"/>
        <item x="507"/>
        <item x="948"/>
        <item x="685"/>
        <item x="858"/>
        <item x="550"/>
        <item x="386"/>
        <item x="287"/>
        <item x="64"/>
        <item x="514"/>
        <item x="563"/>
        <item x="840"/>
        <item x="502"/>
        <item x="90"/>
        <item x="786"/>
        <item x="298"/>
        <item x="91"/>
        <item x="402"/>
        <item x="26"/>
        <item x="230"/>
        <item x="169"/>
        <item x="922"/>
        <item x="872"/>
        <item x="232"/>
        <item x="265"/>
        <item x="234"/>
        <item x="193"/>
        <item x="263"/>
        <item x="724"/>
        <item x="964"/>
        <item x="504"/>
        <item x="930"/>
        <item x="344"/>
        <item x="372"/>
        <item x="535"/>
        <item x="876"/>
        <item x="437"/>
        <item x="751"/>
        <item x="653"/>
        <item x="928"/>
        <item x="128"/>
        <item x="148"/>
        <item x="289"/>
        <item x="488"/>
        <item x="326"/>
        <item x="761"/>
        <item x="475"/>
        <item x="59"/>
        <item x="4"/>
        <item x="898"/>
        <item x="210"/>
        <item x="447"/>
        <item x="819"/>
        <item x="11"/>
        <item x="561"/>
        <item x="645"/>
        <item x="30"/>
        <item x="39"/>
        <item x="177"/>
        <item x="321"/>
        <item x="442"/>
        <item x="371"/>
        <item x="51"/>
        <item x="866"/>
        <item x="493"/>
        <item x="164"/>
        <item x="281"/>
        <item x="468"/>
        <item x="947"/>
        <item x="787"/>
        <item x="452"/>
        <item x="583"/>
        <item x="198"/>
        <item x="422"/>
        <item x="370"/>
        <item x="627"/>
        <item x="144"/>
        <item x="873"/>
        <item x="889"/>
        <item x="394"/>
        <item x="141"/>
        <item x="434"/>
        <item x="730"/>
        <item x="149"/>
        <item x="60"/>
        <item x="572"/>
        <item x="884"/>
        <item x="154"/>
        <item x="845"/>
        <item x="748"/>
        <item x="253"/>
        <item x="803"/>
        <item x="375"/>
        <item x="36"/>
        <item x="749"/>
        <item x="527"/>
        <item x="549"/>
        <item x="523"/>
        <item x="614"/>
        <item x="601"/>
        <item x="659"/>
        <item x="925"/>
        <item x="478"/>
        <item x="590"/>
        <item x="113"/>
        <item x="903"/>
        <item x="137"/>
        <item x="46"/>
        <item x="463"/>
        <item x="242"/>
        <item x="37"/>
        <item x="92"/>
        <item x="295"/>
        <item x="745"/>
        <item x="974"/>
        <item x="398"/>
        <item x="573"/>
        <item x="708"/>
        <item x="598"/>
        <item x="107"/>
        <item x="565"/>
        <item x="412"/>
        <item x="585"/>
        <item x="444"/>
        <item x="18"/>
        <item x="108"/>
        <item x="664"/>
        <item x="587"/>
        <item x="377"/>
        <item x="510"/>
        <item x="131"/>
        <item x="142"/>
        <item x="694"/>
        <item x="934"/>
        <item x="648"/>
        <item x="758"/>
        <item x="985"/>
        <item x="778"/>
        <item x="183"/>
        <item x="489"/>
        <item x="404"/>
        <item x="307"/>
        <item x="267"/>
        <item x="519"/>
        <item x="435"/>
        <item x="732"/>
        <item x="807"/>
        <item x="600"/>
        <item x="7"/>
        <item x="811"/>
        <item x="975"/>
        <item x="810"/>
        <item x="865"/>
        <item x="517"/>
        <item x="249"/>
        <item x="223"/>
        <item x="547"/>
        <item x="115"/>
        <item x="122"/>
        <item x="727"/>
        <item x="710"/>
        <item x="877"/>
        <item x="14"/>
        <item x="703"/>
        <item x="191"/>
        <item x="743"/>
        <item x="958"/>
        <item x="973"/>
        <item x="646"/>
        <item x="261"/>
        <item x="780"/>
        <item x="13"/>
        <item x="129"/>
        <item x="624"/>
        <item x="316"/>
        <item x="630"/>
        <item x="661"/>
        <item x="216"/>
        <item x="276"/>
        <item x="665"/>
        <item x="823"/>
        <item x="29"/>
        <item x="476"/>
        <item x="362"/>
        <item x="357"/>
        <item x="455"/>
        <item x="15"/>
        <item x="500"/>
        <item x="380"/>
        <item x="815"/>
        <item x="93"/>
        <item x="382"/>
        <item x="99"/>
        <item x="512"/>
        <item x="483"/>
        <item x="112"/>
        <item x="531"/>
        <item x="924"/>
        <item x="318"/>
        <item x="978"/>
        <item x="487"/>
        <item x="458"/>
        <item x="684"/>
        <item x="309"/>
        <item x="143"/>
        <item x="260"/>
        <item x="419"/>
        <item x="818"/>
        <item x="268"/>
        <item x="897"/>
        <item x="657"/>
        <item x="166"/>
        <item x="542"/>
        <item x="887"/>
        <item x="615"/>
        <item x="541"/>
        <item x="20"/>
        <item x="764"/>
        <item x="895"/>
        <item x="340"/>
        <item x="414"/>
        <item x="417"/>
        <item x="352"/>
        <item x="972"/>
        <item x="116"/>
        <item x="202"/>
        <item x="367"/>
        <item x="871"/>
        <item x="297"/>
        <item x="667"/>
        <item x="760"/>
        <item x="971"/>
        <item x="336"/>
        <item x="660"/>
        <item x="940"/>
        <item x="151"/>
        <item x="43"/>
        <item x="195"/>
        <item x="733"/>
        <item x="56"/>
        <item x="213"/>
        <item x="658"/>
        <item x="906"/>
        <item x="369"/>
        <item x="409"/>
        <item x="643"/>
        <item x="228"/>
        <item x="431"/>
        <item x="712"/>
        <item x="816"/>
        <item x="557"/>
        <item x="813"/>
        <item x="534"/>
        <item x="941"/>
        <item x="413"/>
        <item x="146"/>
        <item x="536"/>
        <item x="163"/>
        <item x="374"/>
        <item x="942"/>
        <item x="273"/>
        <item x="676"/>
        <item x="348"/>
        <item x="215"/>
        <item x="482"/>
        <item x="233"/>
        <item x="106"/>
        <item x="194"/>
        <item x="959"/>
        <item x="606"/>
        <item x="656"/>
        <item x="564"/>
        <item x="427"/>
        <item x="581"/>
        <item x="44"/>
        <item x="729"/>
        <item x="705"/>
        <item x="709"/>
        <item x="984"/>
        <item x="470"/>
        <item x="981"/>
        <item x="570"/>
        <item x="341"/>
        <item x="969"/>
        <item x="888"/>
        <item x="833"/>
        <item x="155"/>
        <item x="977"/>
        <item x="310"/>
        <item x="257"/>
        <item x="776"/>
        <item x="333"/>
        <item x="626"/>
        <item x="690"/>
        <item x="220"/>
        <item x="752"/>
        <item x="277"/>
        <item x="283"/>
        <item x="182"/>
        <item x="801"/>
        <item x="453"/>
        <item x="939"/>
        <item t="default"/>
      </items>
    </pivotField>
    <pivotField showAll="0"/>
    <pivotField numFmtId="9" showAll="0"/>
    <pivotField numFmtId="2"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4">
    <i>
      <x/>
    </i>
    <i>
      <x v="1"/>
    </i>
    <i>
      <x v="2"/>
    </i>
    <i t="grand">
      <x/>
    </i>
  </rowItems>
  <colItems count="1">
    <i/>
  </colItems>
  <dataFields count="1">
    <dataField name="Sum of Sales" fld="6" baseField="0" baseItem="0" numFmtId="2"/>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7C675A-BFE4-4575-9815-1CC094A705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8" firstHeaderRow="1" firstDataRow="1" firstDataCol="1"/>
  <pivotFields count="12">
    <pivotField showAll="0"/>
    <pivotField numFmtId="164" showAll="0">
      <items count="324">
        <item x="135"/>
        <item x="316"/>
        <item x="70"/>
        <item x="171"/>
        <item x="195"/>
        <item x="239"/>
        <item x="263"/>
        <item x="256"/>
        <item x="153"/>
        <item x="47"/>
        <item x="51"/>
        <item x="280"/>
        <item x="27"/>
        <item x="255"/>
        <item x="277"/>
        <item x="151"/>
        <item x="219"/>
        <item x="159"/>
        <item x="30"/>
        <item x="241"/>
        <item x="175"/>
        <item x="142"/>
        <item x="89"/>
        <item x="160"/>
        <item x="81"/>
        <item x="303"/>
        <item x="234"/>
        <item x="145"/>
        <item x="218"/>
        <item x="231"/>
        <item x="92"/>
        <item x="232"/>
        <item x="17"/>
        <item x="209"/>
        <item x="272"/>
        <item x="300"/>
        <item x="285"/>
        <item x="52"/>
        <item x="293"/>
        <item x="64"/>
        <item x="197"/>
        <item x="98"/>
        <item x="41"/>
        <item x="259"/>
        <item x="11"/>
        <item x="117"/>
        <item x="284"/>
        <item x="45"/>
        <item x="273"/>
        <item x="298"/>
        <item x="189"/>
        <item x="101"/>
        <item x="31"/>
        <item x="146"/>
        <item x="95"/>
        <item x="65"/>
        <item x="7"/>
        <item x="187"/>
        <item x="173"/>
        <item x="238"/>
        <item x="78"/>
        <item x="136"/>
        <item x="124"/>
        <item x="140"/>
        <item x="75"/>
        <item x="271"/>
        <item x="289"/>
        <item x="28"/>
        <item x="20"/>
        <item x="91"/>
        <item x="182"/>
        <item x="291"/>
        <item x="103"/>
        <item x="36"/>
        <item x="210"/>
        <item x="262"/>
        <item x="282"/>
        <item x="240"/>
        <item x="73"/>
        <item x="250"/>
        <item x="130"/>
        <item x="276"/>
        <item x="176"/>
        <item x="61"/>
        <item x="121"/>
        <item x="34"/>
        <item x="222"/>
        <item x="44"/>
        <item x="278"/>
        <item x="93"/>
        <item x="2"/>
        <item x="88"/>
        <item x="23"/>
        <item x="169"/>
        <item x="97"/>
        <item x="305"/>
        <item x="128"/>
        <item x="208"/>
        <item x="53"/>
        <item x="288"/>
        <item x="105"/>
        <item x="157"/>
        <item x="125"/>
        <item x="216"/>
        <item x="119"/>
        <item x="319"/>
        <item x="314"/>
        <item x="1"/>
        <item x="84"/>
        <item x="307"/>
        <item x="29"/>
        <item x="71"/>
        <item x="177"/>
        <item x="3"/>
        <item x="152"/>
        <item x="109"/>
        <item x="168"/>
        <item x="230"/>
        <item x="212"/>
        <item x="137"/>
        <item x="249"/>
        <item x="183"/>
        <item x="21"/>
        <item x="233"/>
        <item x="174"/>
        <item x="226"/>
        <item x="237"/>
        <item x="203"/>
        <item x="18"/>
        <item x="202"/>
        <item x="215"/>
        <item x="243"/>
        <item x="221"/>
        <item x="268"/>
        <item x="57"/>
        <item x="290"/>
        <item x="80"/>
        <item x="132"/>
        <item x="254"/>
        <item x="99"/>
        <item x="199"/>
        <item x="223"/>
        <item x="8"/>
        <item x="248"/>
        <item x="252"/>
        <item x="15"/>
        <item x="244"/>
        <item x="206"/>
        <item x="112"/>
        <item x="204"/>
        <item x="25"/>
        <item x="158"/>
        <item x="60"/>
        <item x="296"/>
        <item x="299"/>
        <item x="166"/>
        <item x="90"/>
        <item x="304"/>
        <item x="214"/>
        <item x="253"/>
        <item x="143"/>
        <item x="283"/>
        <item x="19"/>
        <item x="251"/>
        <item x="185"/>
        <item x="127"/>
        <item x="172"/>
        <item x="260"/>
        <item x="85"/>
        <item x="10"/>
        <item x="161"/>
        <item x="0"/>
        <item x="245"/>
        <item x="96"/>
        <item x="114"/>
        <item x="72"/>
        <item x="236"/>
        <item x="77"/>
        <item x="150"/>
        <item x="180"/>
        <item x="14"/>
        <item x="86"/>
        <item x="110"/>
        <item x="179"/>
        <item x="311"/>
        <item x="167"/>
        <item x="281"/>
        <item x="181"/>
        <item x="12"/>
        <item x="111"/>
        <item x="261"/>
        <item x="39"/>
        <item x="196"/>
        <item x="258"/>
        <item x="257"/>
        <item x="63"/>
        <item x="116"/>
        <item x="213"/>
        <item x="297"/>
        <item x="322"/>
        <item x="37"/>
        <item x="149"/>
        <item x="62"/>
        <item x="292"/>
        <item x="46"/>
        <item x="120"/>
        <item x="32"/>
        <item x="106"/>
        <item x="9"/>
        <item x="5"/>
        <item x="178"/>
        <item x="217"/>
        <item x="104"/>
        <item x="224"/>
        <item x="229"/>
        <item x="247"/>
        <item x="26"/>
        <item x="242"/>
        <item x="320"/>
        <item x="33"/>
        <item x="270"/>
        <item x="83"/>
        <item x="123"/>
        <item x="186"/>
        <item x="228"/>
        <item x="313"/>
        <item x="59"/>
        <item x="190"/>
        <item x="126"/>
        <item x="16"/>
        <item x="79"/>
        <item x="275"/>
        <item x="310"/>
        <item x="155"/>
        <item x="102"/>
        <item x="42"/>
        <item x="76"/>
        <item x="148"/>
        <item x="68"/>
        <item x="118"/>
        <item x="309"/>
        <item x="265"/>
        <item x="108"/>
        <item x="38"/>
        <item x="6"/>
        <item x="50"/>
        <item x="163"/>
        <item x="87"/>
        <item x="312"/>
        <item x="191"/>
        <item x="170"/>
        <item x="306"/>
        <item x="192"/>
        <item x="198"/>
        <item x="67"/>
        <item x="35"/>
        <item x="287"/>
        <item x="211"/>
        <item x="13"/>
        <item x="164"/>
        <item x="131"/>
        <item x="4"/>
        <item x="113"/>
        <item x="138"/>
        <item x="188"/>
        <item x="49"/>
        <item x="58"/>
        <item x="94"/>
        <item x="294"/>
        <item x="286"/>
        <item x="264"/>
        <item x="69"/>
        <item x="100"/>
        <item x="308"/>
        <item x="207"/>
        <item x="246"/>
        <item x="141"/>
        <item x="201"/>
        <item x="162"/>
        <item x="301"/>
        <item x="133"/>
        <item x="200"/>
        <item x="295"/>
        <item x="107"/>
        <item x="302"/>
        <item x="267"/>
        <item x="269"/>
        <item x="144"/>
        <item x="40"/>
        <item x="220"/>
        <item x="82"/>
        <item x="74"/>
        <item x="122"/>
        <item x="193"/>
        <item x="66"/>
        <item x="115"/>
        <item x="194"/>
        <item x="227"/>
        <item x="56"/>
        <item x="274"/>
        <item x="129"/>
        <item x="22"/>
        <item x="225"/>
        <item x="43"/>
        <item x="24"/>
        <item x="321"/>
        <item x="205"/>
        <item x="134"/>
        <item x="55"/>
        <item x="318"/>
        <item x="279"/>
        <item x="154"/>
        <item x="54"/>
        <item x="317"/>
        <item x="147"/>
        <item x="266"/>
        <item x="139"/>
        <item x="184"/>
        <item x="48"/>
        <item x="235"/>
        <item x="315"/>
        <item x="156"/>
        <item x="165"/>
        <item t="default"/>
      </items>
    </pivotField>
    <pivotField showAll="0"/>
    <pivotField axis="axisRow" showAll="0">
      <items count="5">
        <item x="0"/>
        <item x="1"/>
        <item x="2"/>
        <item x="3"/>
        <item t="default"/>
      </items>
    </pivotField>
    <pivotField showAll="0"/>
    <pivotField showAll="0"/>
    <pivotField numFmtId="2" showAll="0"/>
    <pivotField showAll="0"/>
    <pivotField numFmtId="9" showAll="0"/>
    <pivotField dataField="1" numFmtId="2" showAll="0">
      <items count="1001">
        <item x="202"/>
        <item x="414"/>
        <item x="182"/>
        <item x="963"/>
        <item x="899"/>
        <item x="659"/>
        <item x="220"/>
        <item x="979"/>
        <item x="745"/>
        <item x="273"/>
        <item x="634"/>
        <item x="491"/>
        <item x="876"/>
        <item x="734"/>
        <item x="381"/>
        <item x="788"/>
        <item x="331"/>
        <item x="252"/>
        <item x="623"/>
        <item x="243"/>
        <item x="506"/>
        <item x="332"/>
        <item x="434"/>
        <item x="177"/>
        <item x="622"/>
        <item x="869"/>
        <item x="267"/>
        <item x="13"/>
        <item x="688"/>
        <item x="677"/>
        <item x="846"/>
        <item x="896"/>
        <item x="845"/>
        <item x="943"/>
        <item x="48"/>
        <item x="900"/>
        <item x="258"/>
        <item x="564"/>
        <item x="400"/>
        <item x="858"/>
        <item x="349"/>
        <item x="748"/>
        <item x="797"/>
        <item x="545"/>
        <item x="261"/>
        <item x="467"/>
        <item x="881"/>
        <item x="404"/>
        <item x="731"/>
        <item x="595"/>
        <item x="724"/>
        <item x="7"/>
        <item x="396"/>
        <item x="986"/>
        <item x="139"/>
        <item x="235"/>
        <item x="573"/>
        <item x="469"/>
        <item x="304"/>
        <item x="510"/>
        <item x="238"/>
        <item x="311"/>
        <item x="225"/>
        <item x="388"/>
        <item x="678"/>
        <item x="251"/>
        <item x="473"/>
        <item x="988"/>
        <item x="198"/>
        <item x="208"/>
        <item x="989"/>
        <item x="735"/>
        <item x="566"/>
        <item x="170"/>
        <item x="597"/>
        <item x="747"/>
        <item x="618"/>
        <item x="103"/>
        <item x="691"/>
        <item x="517"/>
        <item x="874"/>
        <item x="176"/>
        <item x="470"/>
        <item x="131"/>
        <item x="497"/>
        <item x="303"/>
        <item x="619"/>
        <item x="771"/>
        <item x="178"/>
        <item x="897"/>
        <item x="462"/>
        <item x="637"/>
        <item x="350"/>
        <item x="769"/>
        <item x="104"/>
        <item x="52"/>
        <item x="455"/>
        <item x="998"/>
        <item x="80"/>
        <item x="585"/>
        <item x="526"/>
        <item x="741"/>
        <item x="218"/>
        <item x="755"/>
        <item x="168"/>
        <item x="939"/>
        <item x="635"/>
        <item x="375"/>
        <item x="872"/>
        <item x="511"/>
        <item x="63"/>
        <item x="673"/>
        <item x="398"/>
        <item x="966"/>
        <item x="485"/>
        <item x="367"/>
        <item x="774"/>
        <item x="791"/>
        <item x="431"/>
        <item x="962"/>
        <item x="366"/>
        <item x="3"/>
        <item x="947"/>
        <item x="598"/>
        <item x="556"/>
        <item x="62"/>
        <item x="200"/>
        <item x="601"/>
        <item x="925"/>
        <item x="206"/>
        <item x="722"/>
        <item x="794"/>
        <item x="190"/>
        <item x="333"/>
        <item x="161"/>
        <item x="606"/>
        <item x="913"/>
        <item x="684"/>
        <item x="187"/>
        <item x="53"/>
        <item x="807"/>
        <item x="157"/>
        <item x="718"/>
        <item x="915"/>
        <item x="27"/>
        <item x="259"/>
        <item x="926"/>
        <item x="605"/>
        <item x="149"/>
        <item x="610"/>
        <item x="995"/>
        <item x="8"/>
        <item x="847"/>
        <item x="548"/>
        <item x="86"/>
        <item x="147"/>
        <item x="125"/>
        <item x="652"/>
        <item x="236"/>
        <item x="132"/>
        <item x="695"/>
        <item x="613"/>
        <item x="727"/>
        <item x="427"/>
        <item x="885"/>
        <item x="851"/>
        <item x="713"/>
        <item x="437"/>
        <item x="725"/>
        <item x="889"/>
        <item x="614"/>
        <item x="347"/>
        <item x="559"/>
        <item x="514"/>
        <item x="448"/>
        <item x="765"/>
        <item x="761"/>
        <item x="429"/>
        <item x="803"/>
        <item x="859"/>
        <item x="954"/>
        <item x="499"/>
        <item x="917"/>
        <item x="831"/>
        <item x="377"/>
        <item x="868"/>
        <item x="645"/>
        <item x="45"/>
        <item x="305"/>
        <item x="68"/>
        <item x="802"/>
        <item x="315"/>
        <item x="600"/>
        <item x="418"/>
        <item x="486"/>
        <item x="503"/>
        <item x="17"/>
        <item x="389"/>
        <item x="175"/>
        <item x="655"/>
        <item x="40"/>
        <item x="189"/>
        <item x="229"/>
        <item x="436"/>
        <item x="88"/>
        <item x="83"/>
        <item x="444"/>
        <item x="574"/>
        <item x="928"/>
        <item x="181"/>
        <item x="92"/>
        <item x="162"/>
        <item x="339"/>
        <item x="520"/>
        <item x="245"/>
        <item x="980"/>
        <item x="993"/>
        <item x="334"/>
        <item x="71"/>
        <item x="866"/>
        <item x="298"/>
        <item x="557"/>
        <item x="16"/>
        <item x="22"/>
        <item x="903"/>
        <item x="744"/>
        <item x="937"/>
        <item x="703"/>
        <item x="460"/>
        <item x="835"/>
        <item x="173"/>
        <item x="603"/>
        <item x="408"/>
        <item x="481"/>
        <item x="792"/>
        <item x="230"/>
        <item x="172"/>
        <item x="929"/>
        <item x="342"/>
        <item x="568"/>
        <item x="97"/>
        <item x="466"/>
        <item x="457"/>
        <item x="512"/>
        <item x="853"/>
        <item x="591"/>
        <item x="285"/>
        <item x="425"/>
        <item x="934"/>
        <item x="641"/>
        <item x="796"/>
        <item x="121"/>
        <item x="873"/>
        <item x="999"/>
        <item x="770"/>
        <item x="494"/>
        <item x="683"/>
        <item x="594"/>
        <item x="890"/>
        <item x="417"/>
        <item x="820"/>
        <item x="301"/>
        <item x="77"/>
        <item x="756"/>
        <item x="24"/>
        <item x="10"/>
        <item x="141"/>
        <item x="509"/>
        <item x="920"/>
        <item x="624"/>
        <item x="679"/>
        <item x="498"/>
        <item x="693"/>
        <item x="921"/>
        <item x="758"/>
        <item x="612"/>
        <item x="554"/>
        <item x="752"/>
        <item x="987"/>
        <item x="884"/>
        <item x="474"/>
        <item x="237"/>
        <item x="403"/>
        <item x="102"/>
        <item x="894"/>
        <item x="633"/>
        <item x="280"/>
        <item x="227"/>
        <item x="180"/>
        <item x="49"/>
        <item x="336"/>
        <item x="325"/>
        <item x="23"/>
        <item x="941"/>
        <item x="577"/>
        <item x="742"/>
        <item x="626"/>
        <item x="426"/>
        <item x="629"/>
        <item x="465"/>
        <item x="421"/>
        <item x="69"/>
        <item x="906"/>
        <item x="308"/>
        <item x="938"/>
        <item x="970"/>
        <item x="239"/>
        <item x="996"/>
        <item x="391"/>
        <item x="923"/>
        <item x="805"/>
        <item x="560"/>
        <item x="409"/>
        <item x="642"/>
        <item x="563"/>
        <item x="960"/>
        <item x="441"/>
        <item x="764"/>
        <item x="886"/>
        <item x="12"/>
        <item x="992"/>
        <item x="540"/>
        <item x="905"/>
        <item x="525"/>
        <item x="203"/>
        <item x="85"/>
        <item x="720"/>
        <item x="205"/>
        <item x="787"/>
        <item x="384"/>
        <item x="715"/>
        <item x="549"/>
        <item x="609"/>
        <item x="495"/>
        <item x="706"/>
        <item x="864"/>
        <item x="146"/>
        <item x="5"/>
        <item x="729"/>
        <item x="134"/>
        <item x="66"/>
        <item x="848"/>
        <item x="972"/>
        <item x="326"/>
        <item x="154"/>
        <item x="493"/>
        <item x="815"/>
        <item x="855"/>
        <item x="504"/>
        <item x="982"/>
        <item x="698"/>
        <item x="880"/>
        <item x="811"/>
        <item x="302"/>
        <item x="204"/>
        <item x="891"/>
        <item x="737"/>
        <item x="188"/>
        <item x="793"/>
        <item x="158"/>
        <item x="320"/>
        <item x="723"/>
        <item x="521"/>
        <item x="852"/>
        <item x="360"/>
        <item x="61"/>
        <item x="240"/>
        <item x="42"/>
        <item x="390"/>
        <item x="35"/>
        <item x="306"/>
        <item x="690"/>
        <item x="931"/>
        <item x="863"/>
        <item x="351"/>
        <item x="82"/>
        <item x="422"/>
        <item x="541"/>
        <item x="496"/>
        <item x="75"/>
        <item x="935"/>
        <item x="314"/>
        <item x="916"/>
        <item x="530"/>
        <item x="502"/>
        <item x="138"/>
        <item x="547"/>
        <item x="270"/>
        <item x="262"/>
        <item x="932"/>
        <item x="268"/>
        <item x="492"/>
        <item x="58"/>
        <item x="248"/>
        <item x="951"/>
        <item x="783"/>
        <item x="165"/>
        <item x="784"/>
        <item x="41"/>
        <item x="78"/>
        <item x="345"/>
        <item x="385"/>
        <item x="911"/>
        <item x="857"/>
        <item x="879"/>
        <item x="328"/>
        <item x="704"/>
        <item x="120"/>
        <item x="401"/>
        <item x="760"/>
        <item x="781"/>
        <item x="443"/>
        <item x="647"/>
        <item x="922"/>
        <item x="924"/>
        <item x="167"/>
        <item x="369"/>
        <item x="272"/>
        <item x="94"/>
        <item x="888"/>
        <item x="527"/>
        <item x="118"/>
        <item x="967"/>
        <item x="109"/>
        <item x="393"/>
        <item x="217"/>
        <item x="786"/>
        <item x="543"/>
        <item x="843"/>
        <item x="663"/>
        <item x="435"/>
        <item x="959"/>
        <item x="374"/>
        <item x="260"/>
        <item x="432"/>
        <item x="255"/>
        <item x="19"/>
        <item x="599"/>
        <item x="214"/>
        <item x="352"/>
        <item x="382"/>
        <item x="871"/>
        <item x="159"/>
        <item x="621"/>
        <item x="184"/>
        <item x="697"/>
        <item x="1"/>
        <item x="57"/>
        <item x="630"/>
        <item x="335"/>
        <item x="856"/>
        <item x="572"/>
        <item x="664"/>
        <item x="861"/>
        <item x="565"/>
        <item x="379"/>
        <item x="965"/>
        <item x="223"/>
        <item x="300"/>
        <item x="685"/>
        <item x="671"/>
        <item x="743"/>
        <item x="632"/>
        <item x="779"/>
        <item x="887"/>
        <item x="288"/>
        <item x="950"/>
        <item x="777"/>
        <item x="380"/>
        <item x="31"/>
        <item x="319"/>
        <item x="84"/>
        <item x="219"/>
        <item x="361"/>
        <item x="269"/>
        <item x="487"/>
        <item x="933"/>
        <item x="968"/>
        <item x="757"/>
        <item x="416"/>
        <item x="636"/>
        <item x="687"/>
        <item x="977"/>
        <item x="37"/>
        <item x="580"/>
        <item x="171"/>
        <item x="222"/>
        <item x="516"/>
        <item x="327"/>
        <item x="44"/>
        <item x="700"/>
        <item x="137"/>
        <item x="21"/>
        <item x="475"/>
        <item x="224"/>
        <item x="402"/>
        <item x="430"/>
        <item x="531"/>
        <item x="70"/>
        <item x="832"/>
        <item x="152"/>
        <item x="544"/>
        <item x="694"/>
        <item x="782"/>
        <item x="73"/>
        <item x="98"/>
        <item x="653"/>
        <item x="110"/>
        <item x="824"/>
        <item x="143"/>
        <item x="575"/>
        <item x="67"/>
        <item x="909"/>
        <item x="194"/>
        <item x="865"/>
        <item x="716"/>
        <item x="790"/>
        <item x="726"/>
        <item x="256"/>
        <item x="767"/>
        <item x="773"/>
        <item x="362"/>
        <item x="135"/>
        <item x="127"/>
        <item x="596"/>
        <item x="348"/>
        <item x="838"/>
        <item x="174"/>
        <item x="60"/>
        <item x="392"/>
        <item x="628"/>
        <item x="583"/>
        <item x="156"/>
        <item x="973"/>
        <item x="192"/>
        <item x="651"/>
        <item x="26"/>
        <item x="0"/>
        <item x="854"/>
        <item x="569"/>
        <item x="478"/>
        <item x="942"/>
        <item x="151"/>
        <item x="607"/>
        <item x="378"/>
        <item x="284"/>
        <item x="656"/>
        <item x="519"/>
        <item x="898"/>
        <item x="38"/>
        <item x="207"/>
        <item x="817"/>
        <item x="4"/>
        <item x="451"/>
        <item x="313"/>
        <item x="981"/>
        <item x="553"/>
        <item x="221"/>
        <item x="839"/>
        <item x="728"/>
        <item x="185"/>
        <item x="271"/>
        <item x="338"/>
        <item x="842"/>
        <item x="446"/>
        <item x="644"/>
        <item x="958"/>
        <item x="608"/>
        <item x="323"/>
        <item x="90"/>
        <item x="452"/>
        <item x="834"/>
        <item x="354"/>
        <item x="721"/>
        <item x="840"/>
        <item x="991"/>
        <item x="250"/>
        <item x="904"/>
        <item x="699"/>
        <item x="458"/>
        <item x="870"/>
        <item x="299"/>
        <item x="89"/>
        <item x="534"/>
        <item x="809"/>
        <item x="386"/>
        <item x="524"/>
        <item x="197"/>
        <item x="984"/>
        <item x="561"/>
        <item x="20"/>
        <item x="546"/>
        <item x="994"/>
        <item x="357"/>
        <item x="940"/>
        <item x="836"/>
        <item x="483"/>
        <item x="55"/>
        <item x="592"/>
        <item x="406"/>
        <item x="79"/>
        <item x="800"/>
        <item x="768"/>
        <item x="211"/>
        <item x="901"/>
        <item x="346"/>
        <item x="508"/>
        <item x="226"/>
        <item x="640"/>
        <item x="927"/>
        <item x="160"/>
        <item x="254"/>
        <item x="638"/>
        <item x="878"/>
        <item x="199"/>
        <item x="196"/>
        <item x="523"/>
        <item x="337"/>
        <item x="955"/>
        <item x="862"/>
        <item x="978"/>
        <item x="581"/>
        <item x="810"/>
        <item x="353"/>
        <item x="322"/>
        <item x="701"/>
        <item x="293"/>
        <item x="975"/>
        <item x="454"/>
        <item x="28"/>
        <item x="364"/>
        <item x="844"/>
        <item x="96"/>
        <item x="411"/>
        <item x="29"/>
        <item x="670"/>
        <item x="749"/>
        <item x="296"/>
        <item x="823"/>
        <item x="643"/>
        <item x="266"/>
        <item x="423"/>
        <item x="412"/>
        <item x="522"/>
        <item x="604"/>
        <item x="440"/>
        <item x="100"/>
        <item x="964"/>
        <item x="291"/>
        <item x="264"/>
        <item x="829"/>
        <item x="579"/>
        <item x="119"/>
        <item x="246"/>
        <item x="936"/>
        <item x="15"/>
        <item x="812"/>
        <item x="9"/>
        <item x="682"/>
        <item x="155"/>
        <item x="130"/>
        <item x="680"/>
        <item x="316"/>
        <item x="649"/>
        <item x="30"/>
        <item x="825"/>
        <item x="631"/>
        <item x="399"/>
        <item x="318"/>
        <item x="914"/>
        <item x="681"/>
        <item x="324"/>
        <item x="739"/>
        <item x="740"/>
        <item x="584"/>
        <item x="419"/>
        <item x="710"/>
        <item x="895"/>
        <item x="114"/>
        <item x="233"/>
        <item x="33"/>
        <item x="551"/>
        <item x="674"/>
        <item x="91"/>
        <item x="860"/>
        <item x="578"/>
        <item x="500"/>
        <item x="278"/>
        <item x="193"/>
        <item x="804"/>
        <item x="2"/>
        <item x="660"/>
        <item x="355"/>
        <item x="675"/>
        <item x="179"/>
        <item x="244"/>
        <item x="51"/>
        <item x="789"/>
        <item x="808"/>
        <item x="482"/>
        <item x="507"/>
        <item x="274"/>
        <item x="533"/>
        <item x="373"/>
        <item x="883"/>
        <item x="201"/>
        <item x="81"/>
        <item x="292"/>
        <item x="32"/>
        <item x="778"/>
        <item x="833"/>
        <item x="668"/>
        <item x="415"/>
        <item x="87"/>
        <item x="696"/>
        <item x="650"/>
        <item x="733"/>
        <item x="113"/>
        <item x="902"/>
        <item x="275"/>
        <item x="719"/>
        <item x="867"/>
        <item x="242"/>
        <item x="359"/>
        <item x="990"/>
        <item x="590"/>
        <item x="930"/>
        <item x="65"/>
        <item x="126"/>
        <item x="705"/>
        <item x="117"/>
        <item x="383"/>
        <item x="976"/>
        <item x="570"/>
        <item x="209"/>
        <item x="751"/>
        <item x="528"/>
        <item x="133"/>
        <item x="602"/>
        <item x="387"/>
        <item x="286"/>
        <item x="463"/>
        <item x="780"/>
        <item x="358"/>
        <item x="841"/>
        <item x="662"/>
        <item x="433"/>
        <item x="620"/>
        <item x="142"/>
        <item x="295"/>
        <item x="153"/>
        <item x="801"/>
        <item x="686"/>
        <item x="654"/>
        <item x="538"/>
        <item x="775"/>
        <item x="312"/>
        <item x="277"/>
        <item x="576"/>
        <item x="356"/>
        <item x="186"/>
        <item x="639"/>
        <item x="263"/>
        <item x="730"/>
        <item x="279"/>
        <item x="144"/>
        <item x="372"/>
        <item x="14"/>
        <item x="59"/>
        <item x="617"/>
        <item x="949"/>
        <item x="480"/>
        <item x="54"/>
        <item x="821"/>
        <item x="985"/>
        <item x="257"/>
        <item x="850"/>
        <item x="129"/>
        <item x="123"/>
        <item x="882"/>
        <item x="140"/>
        <item x="169"/>
        <item x="371"/>
        <item x="72"/>
        <item x="310"/>
        <item x="919"/>
        <item x="732"/>
        <item x="287"/>
        <item x="136"/>
        <item x="736"/>
        <item x="282"/>
        <item x="289"/>
        <item x="953"/>
        <item x="213"/>
        <item x="111"/>
        <item x="689"/>
        <item x="46"/>
        <item x="828"/>
        <item x="961"/>
        <item x="542"/>
        <item x="529"/>
        <item x="672"/>
        <item x="983"/>
        <item x="537"/>
        <item x="122"/>
        <item x="420"/>
        <item x="717"/>
        <item x="6"/>
        <item x="93"/>
        <item x="183"/>
        <item x="763"/>
        <item x="330"/>
        <item x="712"/>
        <item x="708"/>
        <item x="946"/>
        <item x="464"/>
        <item x="317"/>
        <item x="370"/>
        <item x="447"/>
        <item x="918"/>
        <item x="365"/>
        <item x="830"/>
        <item x="567"/>
        <item x="948"/>
        <item x="709"/>
        <item x="166"/>
        <item x="552"/>
        <item x="477"/>
        <item x="321"/>
        <item x="105"/>
        <item x="837"/>
        <item x="587"/>
        <item x="476"/>
        <item x="489"/>
        <item x="827"/>
        <item x="25"/>
        <item x="95"/>
        <item x="738"/>
        <item x="877"/>
        <item x="397"/>
        <item x="806"/>
        <item x="648"/>
        <item x="394"/>
        <item x="407"/>
        <item x="910"/>
        <item x="74"/>
        <item x="957"/>
        <item x="658"/>
        <item x="505"/>
        <item x="772"/>
        <item x="593"/>
        <item x="795"/>
        <item x="555"/>
        <item x="776"/>
        <item x="754"/>
        <item x="849"/>
        <item x="234"/>
        <item x="945"/>
        <item x="676"/>
        <item x="424"/>
        <item x="128"/>
        <item x="101"/>
        <item x="343"/>
        <item x="449"/>
        <item x="145"/>
        <item x="532"/>
        <item x="589"/>
        <item x="34"/>
        <item x="550"/>
        <item x="216"/>
        <item x="461"/>
        <item x="276"/>
        <item x="450"/>
        <item x="892"/>
        <item x="646"/>
        <item x="247"/>
        <item x="438"/>
        <item x="785"/>
        <item x="539"/>
        <item x="150"/>
        <item x="115"/>
        <item x="571"/>
        <item x="750"/>
        <item x="956"/>
        <item x="36"/>
        <item x="974"/>
        <item x="212"/>
        <item x="907"/>
        <item x="18"/>
        <item x="50"/>
        <item x="241"/>
        <item x="667"/>
        <item x="818"/>
        <item x="799"/>
        <item x="215"/>
        <item x="281"/>
        <item x="11"/>
        <item x="912"/>
        <item x="766"/>
        <item x="798"/>
        <item x="290"/>
        <item x="47"/>
        <item x="971"/>
        <item x="249"/>
        <item x="459"/>
        <item x="702"/>
        <item x="627"/>
        <item x="124"/>
        <item x="410"/>
        <item x="669"/>
        <item x="108"/>
        <item x="611"/>
        <item x="439"/>
        <item x="759"/>
        <item x="39"/>
        <item x="163"/>
        <item x="456"/>
        <item x="588"/>
        <item x="307"/>
        <item x="453"/>
        <item x="107"/>
        <item x="615"/>
        <item x="616"/>
        <item x="112"/>
        <item x="232"/>
        <item x="56"/>
        <item x="816"/>
        <item x="442"/>
        <item x="908"/>
        <item x="376"/>
        <item x="997"/>
        <item x="253"/>
        <item x="195"/>
        <item x="294"/>
        <item x="513"/>
        <item x="944"/>
        <item x="148"/>
        <item x="265"/>
        <item x="535"/>
        <item x="472"/>
        <item x="468"/>
        <item x="515"/>
        <item x="586"/>
        <item x="952"/>
        <item x="536"/>
        <item x="753"/>
        <item x="518"/>
        <item x="210"/>
        <item x="428"/>
        <item x="76"/>
        <item x="969"/>
        <item x="191"/>
        <item x="64"/>
        <item x="231"/>
        <item x="501"/>
        <item x="714"/>
        <item x="340"/>
        <item x="746"/>
        <item x="363"/>
        <item x="893"/>
        <item x="562"/>
        <item x="625"/>
        <item x="329"/>
        <item x="116"/>
        <item x="657"/>
        <item x="479"/>
        <item x="309"/>
        <item x="819"/>
        <item x="822"/>
        <item x="707"/>
        <item x="395"/>
        <item x="582"/>
        <item x="484"/>
        <item x="344"/>
        <item x="405"/>
        <item x="164"/>
        <item x="99"/>
        <item x="488"/>
        <item x="665"/>
        <item x="413"/>
        <item x="368"/>
        <item x="445"/>
        <item x="106"/>
        <item x="692"/>
        <item x="228"/>
        <item x="813"/>
        <item x="490"/>
        <item x="826"/>
        <item x="814"/>
        <item x="875"/>
        <item x="43"/>
        <item x="297"/>
        <item x="666"/>
        <item x="661"/>
        <item x="471"/>
        <item x="558"/>
        <item x="762"/>
        <item x="283"/>
        <item x="341"/>
        <item x="71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5">
    <i>
      <x/>
    </i>
    <i>
      <x v="1"/>
    </i>
    <i>
      <x v="2"/>
    </i>
    <i>
      <x v="3"/>
    </i>
    <i t="grand">
      <x/>
    </i>
  </rowItems>
  <colItems count="1">
    <i/>
  </colItems>
  <dataFields count="1">
    <dataField name="Sum of Profit" fld="9" baseField="0" baseItem="0" numFmtId="2"/>
  </dataFields>
  <chartFormats count="4">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19840B-3538-4501-8C93-FDE2A8C21D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7" firstHeaderRow="1" firstDataRow="1" firstDataCol="1"/>
  <pivotFields count="12">
    <pivotField showAll="0"/>
    <pivotField numFmtId="164" showAll="0">
      <items count="324">
        <item x="135"/>
        <item x="316"/>
        <item x="70"/>
        <item x="171"/>
        <item x="195"/>
        <item x="239"/>
        <item x="263"/>
        <item x="256"/>
        <item x="153"/>
        <item x="47"/>
        <item x="51"/>
        <item x="280"/>
        <item x="27"/>
        <item x="255"/>
        <item x="277"/>
        <item x="151"/>
        <item x="219"/>
        <item x="159"/>
        <item x="30"/>
        <item x="241"/>
        <item x="175"/>
        <item x="142"/>
        <item x="89"/>
        <item x="160"/>
        <item x="81"/>
        <item x="303"/>
        <item x="234"/>
        <item x="145"/>
        <item x="218"/>
        <item x="231"/>
        <item x="92"/>
        <item x="232"/>
        <item x="17"/>
        <item x="209"/>
        <item x="272"/>
        <item x="300"/>
        <item x="285"/>
        <item x="52"/>
        <item x="293"/>
        <item x="64"/>
        <item x="197"/>
        <item x="98"/>
        <item x="41"/>
        <item x="259"/>
        <item x="11"/>
        <item x="117"/>
        <item x="284"/>
        <item x="45"/>
        <item x="273"/>
        <item x="298"/>
        <item x="189"/>
        <item x="101"/>
        <item x="31"/>
        <item x="146"/>
        <item x="95"/>
        <item x="65"/>
        <item x="7"/>
        <item x="187"/>
        <item x="173"/>
        <item x="238"/>
        <item x="78"/>
        <item x="136"/>
        <item x="124"/>
        <item x="140"/>
        <item x="75"/>
        <item x="271"/>
        <item x="289"/>
        <item x="28"/>
        <item x="20"/>
        <item x="91"/>
        <item x="182"/>
        <item x="291"/>
        <item x="103"/>
        <item x="36"/>
        <item x="210"/>
        <item x="262"/>
        <item x="282"/>
        <item x="240"/>
        <item x="73"/>
        <item x="250"/>
        <item x="130"/>
        <item x="276"/>
        <item x="176"/>
        <item x="61"/>
        <item x="121"/>
        <item x="34"/>
        <item x="222"/>
        <item x="44"/>
        <item x="278"/>
        <item x="93"/>
        <item x="2"/>
        <item x="88"/>
        <item x="23"/>
        <item x="169"/>
        <item x="97"/>
        <item x="305"/>
        <item x="128"/>
        <item x="208"/>
        <item x="53"/>
        <item x="288"/>
        <item x="105"/>
        <item x="157"/>
        <item x="125"/>
        <item x="216"/>
        <item x="119"/>
        <item x="319"/>
        <item x="314"/>
        <item x="1"/>
        <item x="84"/>
        <item x="307"/>
        <item x="29"/>
        <item x="71"/>
        <item x="177"/>
        <item x="3"/>
        <item x="152"/>
        <item x="109"/>
        <item x="168"/>
        <item x="230"/>
        <item x="212"/>
        <item x="137"/>
        <item x="249"/>
        <item x="183"/>
        <item x="21"/>
        <item x="233"/>
        <item x="174"/>
        <item x="226"/>
        <item x="237"/>
        <item x="203"/>
        <item x="18"/>
        <item x="202"/>
        <item x="215"/>
        <item x="243"/>
        <item x="221"/>
        <item x="268"/>
        <item x="57"/>
        <item x="290"/>
        <item x="80"/>
        <item x="132"/>
        <item x="254"/>
        <item x="99"/>
        <item x="199"/>
        <item x="223"/>
        <item x="8"/>
        <item x="248"/>
        <item x="252"/>
        <item x="15"/>
        <item x="244"/>
        <item x="206"/>
        <item x="112"/>
        <item x="204"/>
        <item x="25"/>
        <item x="158"/>
        <item x="60"/>
        <item x="296"/>
        <item x="299"/>
        <item x="166"/>
        <item x="90"/>
        <item x="304"/>
        <item x="214"/>
        <item x="253"/>
        <item x="143"/>
        <item x="283"/>
        <item x="19"/>
        <item x="251"/>
        <item x="185"/>
        <item x="127"/>
        <item x="172"/>
        <item x="260"/>
        <item x="85"/>
        <item x="10"/>
        <item x="161"/>
        <item x="0"/>
        <item x="245"/>
        <item x="96"/>
        <item x="114"/>
        <item x="72"/>
        <item x="236"/>
        <item x="77"/>
        <item x="150"/>
        <item x="180"/>
        <item x="14"/>
        <item x="86"/>
        <item x="110"/>
        <item x="179"/>
        <item x="311"/>
        <item x="167"/>
        <item x="281"/>
        <item x="181"/>
        <item x="12"/>
        <item x="111"/>
        <item x="261"/>
        <item x="39"/>
        <item x="196"/>
        <item x="258"/>
        <item x="257"/>
        <item x="63"/>
        <item x="116"/>
        <item x="213"/>
        <item x="297"/>
        <item x="322"/>
        <item x="37"/>
        <item x="149"/>
        <item x="62"/>
        <item x="292"/>
        <item x="46"/>
        <item x="120"/>
        <item x="32"/>
        <item x="106"/>
        <item x="9"/>
        <item x="5"/>
        <item x="178"/>
        <item x="217"/>
        <item x="104"/>
        <item x="224"/>
        <item x="229"/>
        <item x="247"/>
        <item x="26"/>
        <item x="242"/>
        <item x="320"/>
        <item x="33"/>
        <item x="270"/>
        <item x="83"/>
        <item x="123"/>
        <item x="186"/>
        <item x="228"/>
        <item x="313"/>
        <item x="59"/>
        <item x="190"/>
        <item x="126"/>
        <item x="16"/>
        <item x="79"/>
        <item x="275"/>
        <item x="310"/>
        <item x="155"/>
        <item x="102"/>
        <item x="42"/>
        <item x="76"/>
        <item x="148"/>
        <item x="68"/>
        <item x="118"/>
        <item x="309"/>
        <item x="265"/>
        <item x="108"/>
        <item x="38"/>
        <item x="6"/>
        <item x="50"/>
        <item x="163"/>
        <item x="87"/>
        <item x="312"/>
        <item x="191"/>
        <item x="170"/>
        <item x="306"/>
        <item x="192"/>
        <item x="198"/>
        <item x="67"/>
        <item x="35"/>
        <item x="287"/>
        <item x="211"/>
        <item x="13"/>
        <item x="164"/>
        <item x="131"/>
        <item x="4"/>
        <item x="113"/>
        <item x="138"/>
        <item x="188"/>
        <item x="49"/>
        <item x="58"/>
        <item x="94"/>
        <item x="294"/>
        <item x="286"/>
        <item x="264"/>
        <item x="69"/>
        <item x="100"/>
        <item x="308"/>
        <item x="207"/>
        <item x="246"/>
        <item x="141"/>
        <item x="201"/>
        <item x="162"/>
        <item x="301"/>
        <item x="133"/>
        <item x="200"/>
        <item x="295"/>
        <item x="107"/>
        <item x="302"/>
        <item x="267"/>
        <item x="269"/>
        <item x="144"/>
        <item x="40"/>
        <item x="220"/>
        <item x="82"/>
        <item x="74"/>
        <item x="122"/>
        <item x="193"/>
        <item x="66"/>
        <item x="115"/>
        <item x="194"/>
        <item x="227"/>
        <item x="56"/>
        <item x="274"/>
        <item x="129"/>
        <item x="22"/>
        <item x="225"/>
        <item x="43"/>
        <item x="24"/>
        <item x="321"/>
        <item x="205"/>
        <item x="134"/>
        <item x="55"/>
        <item x="318"/>
        <item x="279"/>
        <item x="154"/>
        <item x="54"/>
        <item x="317"/>
        <item x="147"/>
        <item x="266"/>
        <item x="139"/>
        <item x="184"/>
        <item x="48"/>
        <item x="235"/>
        <item x="315"/>
        <item x="156"/>
        <item x="165"/>
        <item t="default"/>
      </items>
    </pivotField>
    <pivotField showAll="0"/>
    <pivotField showAll="0"/>
    <pivotField showAll="0"/>
    <pivotField showAll="0"/>
    <pivotField dataField="1" numFmtId="2" showAll="0">
      <items count="996">
        <item x="339"/>
        <item x="847"/>
        <item x="132"/>
        <item x="480"/>
        <item x="556"/>
        <item x="376"/>
        <item x="965"/>
        <item x="899"/>
        <item x="416"/>
        <item x="473"/>
        <item x="754"/>
        <item x="203"/>
        <item x="22"/>
        <item x="497"/>
        <item x="121"/>
        <item x="711"/>
        <item x="456"/>
        <item x="305"/>
        <item x="420"/>
        <item x="388"/>
        <item x="85"/>
        <item x="172"/>
        <item x="24"/>
        <item x="562"/>
        <item x="180"/>
        <item x="125"/>
        <item x="602"/>
        <item x="285"/>
        <item x="524"/>
        <item x="236"/>
        <item x="608"/>
        <item x="459"/>
        <item x="913"/>
        <item x="408"/>
        <item x="559"/>
        <item x="843"/>
        <item x="495"/>
        <item x="988"/>
        <item x="800"/>
        <item x="682"/>
        <item x="613"/>
        <item x="40"/>
        <item x="529"/>
        <item x="832"/>
        <item x="763"/>
        <item x="27"/>
        <item x="10"/>
        <item x="227"/>
        <item x="23"/>
        <item x="440"/>
        <item x="864"/>
        <item x="802"/>
        <item x="644"/>
        <item x="625"/>
        <item x="270"/>
        <item x="539"/>
        <item x="302"/>
        <item x="768"/>
        <item x="464"/>
        <item x="41"/>
        <item x="162"/>
        <item x="750"/>
        <item x="424"/>
        <item x="782"/>
        <item x="147"/>
        <item x="407"/>
        <item x="485"/>
        <item x="982"/>
        <item x="45"/>
        <item x="69"/>
        <item x="793"/>
        <item x="844"/>
        <item x="759"/>
        <item x="520"/>
        <item x="860"/>
        <item x="916"/>
        <item x="848"/>
        <item x="206"/>
        <item x="71"/>
        <item x="611"/>
        <item x="373"/>
        <item x="314"/>
        <item x="936"/>
        <item x="42"/>
        <item x="641"/>
        <item x="204"/>
        <item x="229"/>
        <item x="839"/>
        <item x="882"/>
        <item x="929"/>
        <item x="88"/>
        <item x="315"/>
        <item x="272"/>
        <item x="920"/>
        <item x="392"/>
        <item x="515"/>
        <item x="498"/>
        <item x="867"/>
        <item x="511"/>
        <item x="525"/>
        <item x="280"/>
        <item x="927"/>
        <item x="327"/>
        <item x="109"/>
        <item x="772"/>
        <item x="921"/>
        <item x="599"/>
        <item x="157"/>
        <item x="954"/>
        <item x="775"/>
        <item x="912"/>
        <item x="725"/>
        <item x="609"/>
        <item x="152"/>
        <item x="861"/>
        <item x="987"/>
        <item x="474"/>
        <item x="779"/>
        <item x="979"/>
        <item x="426"/>
        <item x="301"/>
        <item x="963"/>
        <item x="962"/>
        <item x="368"/>
        <item x="73"/>
        <item x="161"/>
        <item x="52"/>
        <item x="612"/>
        <item x="632"/>
        <item x="494"/>
        <item x="205"/>
        <item x="672"/>
        <item x="968"/>
        <item x="197"/>
        <item x="8"/>
        <item x="704"/>
        <item x="269"/>
        <item x="546"/>
        <item x="421"/>
        <item x="335"/>
        <item x="604"/>
        <item x="695"/>
        <item x="689"/>
        <item x="66"/>
        <item x="256"/>
        <item x="492"/>
        <item x="862"/>
        <item x="926"/>
        <item x="158"/>
        <item x="735"/>
        <item x="250"/>
        <item x="789"/>
        <item x="702"/>
        <item x="662"/>
        <item x="777"/>
        <item x="932"/>
        <item x="804"/>
        <item x="953"/>
        <item x="170"/>
        <item x="303"/>
        <item x="571"/>
        <item x="851"/>
        <item x="436"/>
        <item x="365"/>
        <item x="909"/>
        <item x="484"/>
        <item x="325"/>
        <item x="853"/>
        <item x="852"/>
        <item x="994"/>
        <item x="790"/>
        <item x="955"/>
        <item x="430"/>
        <item x="688"/>
        <item x="885"/>
        <item x="360"/>
        <item x="84"/>
        <item x="63"/>
        <item x="176"/>
        <item x="361"/>
        <item x="683"/>
        <item x="691"/>
        <item x="850"/>
        <item x="597"/>
        <item x="919"/>
        <item x="86"/>
        <item x="255"/>
        <item x="100"/>
        <item x="127"/>
        <item x="591"/>
        <item x="880"/>
        <item x="184"/>
        <item x="217"/>
        <item x="915"/>
        <item x="98"/>
        <item x="855"/>
        <item x="756"/>
        <item x="138"/>
        <item x="686"/>
        <item x="629"/>
        <item x="62"/>
        <item x="663"/>
        <item x="765"/>
        <item x="188"/>
        <item x="248"/>
        <item x="469"/>
        <item x="165"/>
        <item x="806"/>
        <item x="383"/>
        <item x="755"/>
        <item x="67"/>
        <item x="503"/>
        <item x="397"/>
        <item x="900"/>
        <item x="311"/>
        <item x="530"/>
        <item x="701"/>
        <item x="12"/>
        <item x="239"/>
        <item x="740"/>
        <item x="291"/>
        <item x="75"/>
        <item x="674"/>
        <item x="579"/>
        <item x="381"/>
        <item x="506"/>
        <item x="246"/>
        <item x="874"/>
        <item x="881"/>
        <item x="713"/>
        <item x="937"/>
        <item x="425"/>
        <item x="907"/>
        <item x="829"/>
        <item x="167"/>
        <item x="185"/>
        <item x="19"/>
        <item x="486"/>
        <item x="552"/>
        <item x="799"/>
        <item x="350"/>
        <item x="603"/>
        <item x="817"/>
        <item x="766"/>
        <item x="652"/>
        <item x="133"/>
        <item x="957"/>
        <item x="617"/>
        <item x="902"/>
        <item x="192"/>
        <item x="543"/>
        <item x="826"/>
        <item x="94"/>
        <item x="545"/>
        <item x="461"/>
        <item x="319"/>
        <item x="181"/>
        <item x="720"/>
        <item x="300"/>
        <item x="118"/>
        <item x="605"/>
        <item x="574"/>
        <item x="739"/>
        <item x="405"/>
        <item x="79"/>
        <item x="349"/>
        <item x="582"/>
        <item x="462"/>
        <item x="134"/>
        <item x="31"/>
        <item x="58"/>
        <item x="967"/>
        <item x="558"/>
        <item x="526"/>
        <item x="390"/>
        <item x="721"/>
        <item x="428"/>
        <item x="785"/>
        <item x="607"/>
        <item x="518"/>
        <item x="226"/>
        <item x="773"/>
        <item x="718"/>
        <item x="1"/>
        <item x="454"/>
        <item x="859"/>
        <item x="737"/>
        <item x="400"/>
        <item x="767"/>
        <item x="54"/>
        <item x="548"/>
        <item x="634"/>
        <item x="77"/>
        <item x="201"/>
        <item x="323"/>
        <item x="784"/>
        <item x="87"/>
        <item x="379"/>
        <item x="16"/>
        <item x="401"/>
        <item x="638"/>
        <item x="738"/>
        <item x="717"/>
        <item x="856"/>
        <item x="640"/>
        <item x="156"/>
        <item x="219"/>
        <item x="890"/>
        <item x="114"/>
        <item x="214"/>
        <item x="278"/>
        <item x="742"/>
        <item x="17"/>
        <item x="55"/>
        <item x="950"/>
        <item x="139"/>
        <item x="698"/>
        <item x="174"/>
        <item x="466"/>
        <item x="976"/>
        <item x="993"/>
        <item x="259"/>
        <item x="286"/>
        <item x="395"/>
        <item x="707"/>
        <item x="812"/>
        <item x="238"/>
        <item x="3"/>
        <item x="196"/>
        <item x="825"/>
        <item x="595"/>
        <item x="282"/>
        <item x="731"/>
        <item x="719"/>
        <item x="905"/>
        <item x="337"/>
        <item x="594"/>
        <item x="566"/>
        <item x="359"/>
        <item x="830"/>
        <item x="753"/>
        <item x="769"/>
        <item x="820"/>
        <item x="989"/>
        <item x="110"/>
        <item x="208"/>
        <item x="211"/>
        <item x="284"/>
        <item x="943"/>
        <item x="274"/>
        <item x="120"/>
        <item x="237"/>
        <item x="814"/>
        <item x="822"/>
        <item x="296"/>
        <item x="673"/>
        <item x="292"/>
        <item x="363"/>
        <item x="293"/>
        <item x="568"/>
        <item x="32"/>
        <item x="396"/>
        <item x="472"/>
        <item x="334"/>
        <item x="136"/>
        <item x="654"/>
        <item x="970"/>
        <item x="788"/>
        <item x="639"/>
        <item x="266"/>
        <item x="809"/>
        <item x="171"/>
        <item x="21"/>
        <item x="387"/>
        <item x="271"/>
        <item x="104"/>
        <item x="747"/>
        <item x="837"/>
        <item x="209"/>
        <item x="117"/>
        <item x="304"/>
        <item x="320"/>
        <item x="200"/>
        <item x="258"/>
        <item x="61"/>
        <item x="173"/>
        <item x="576"/>
        <item x="911"/>
        <item x="391"/>
        <item x="901"/>
        <item x="25"/>
        <item x="240"/>
        <item x="432"/>
        <item x="551"/>
        <item x="123"/>
        <item x="655"/>
        <item x="338"/>
        <item x="716"/>
        <item x="0"/>
        <item x="935"/>
        <item x="366"/>
        <item x="842"/>
        <item x="235"/>
        <item x="878"/>
        <item x="797"/>
        <item x="946"/>
        <item x="491"/>
        <item x="317"/>
        <item x="986"/>
        <item x="697"/>
        <item x="423"/>
        <item x="577"/>
        <item x="961"/>
        <item x="178"/>
        <item x="623"/>
        <item x="80"/>
        <item x="945"/>
        <item x="179"/>
        <item x="288"/>
        <item x="145"/>
        <item x="222"/>
        <item x="102"/>
        <item x="218"/>
        <item x="649"/>
        <item x="894"/>
        <item x="619"/>
        <item x="678"/>
        <item x="835"/>
        <item x="111"/>
        <item x="618"/>
        <item x="836"/>
        <item x="734"/>
        <item x="669"/>
        <item x="828"/>
        <item x="57"/>
        <item x="187"/>
        <item x="449"/>
        <item x="364"/>
        <item x="189"/>
        <item x="186"/>
        <item x="299"/>
        <item x="532"/>
        <item x="569"/>
        <item x="262"/>
        <item x="808"/>
        <item x="893"/>
        <item x="883"/>
        <item x="555"/>
        <item x="692"/>
        <item x="378"/>
        <item x="82"/>
        <item x="97"/>
        <item x="446"/>
        <item x="5"/>
        <item x="831"/>
        <item x="290"/>
        <item x="509"/>
        <item x="726"/>
        <item x="949"/>
        <item x="355"/>
        <item x="95"/>
        <item x="621"/>
        <item x="68"/>
        <item x="306"/>
        <item x="279"/>
        <item x="313"/>
        <item x="389"/>
        <item x="499"/>
        <item x="190"/>
        <item x="70"/>
        <item x="105"/>
        <item x="670"/>
        <item x="175"/>
        <item x="89"/>
        <item x="126"/>
        <item x="762"/>
        <item x="886"/>
        <item x="513"/>
        <item x="38"/>
        <item x="696"/>
        <item x="78"/>
        <item x="328"/>
        <item x="879"/>
        <item x="933"/>
        <item x="275"/>
        <item x="501"/>
        <item x="914"/>
        <item x="675"/>
        <item x="584"/>
        <item x="596"/>
        <item x="838"/>
        <item x="433"/>
        <item x="508"/>
        <item x="917"/>
        <item x="448"/>
        <item x="728"/>
        <item x="650"/>
        <item x="592"/>
        <item x="693"/>
        <item x="119"/>
        <item x="952"/>
        <item x="586"/>
        <item x="841"/>
        <item x="521"/>
        <item x="353"/>
        <item x="140"/>
        <item x="770"/>
        <item x="537"/>
        <item x="910"/>
        <item x="103"/>
        <item x="393"/>
        <item x="628"/>
        <item x="399"/>
        <item x="254"/>
        <item x="567"/>
        <item x="896"/>
        <item x="332"/>
        <item x="135"/>
        <item x="322"/>
        <item x="783"/>
        <item x="347"/>
        <item x="538"/>
        <item x="150"/>
        <item x="636"/>
        <item x="821"/>
        <item x="575"/>
        <item x="722"/>
        <item x="700"/>
        <item x="6"/>
        <item x="221"/>
        <item x="533"/>
        <item x="496"/>
        <item x="931"/>
        <item x="308"/>
        <item x="824"/>
        <item x="666"/>
        <item x="50"/>
        <item x="418"/>
        <item x="923"/>
        <item x="439"/>
        <item x="9"/>
        <item x="791"/>
        <item x="53"/>
        <item x="451"/>
        <item x="680"/>
        <item x="74"/>
        <item x="635"/>
        <item x="81"/>
        <item x="736"/>
        <item x="445"/>
        <item x="65"/>
        <item x="956"/>
        <item x="130"/>
        <item x="875"/>
        <item x="384"/>
        <item x="346"/>
        <item x="771"/>
        <item x="479"/>
        <item x="241"/>
        <item x="465"/>
        <item x="637"/>
        <item x="846"/>
        <item x="225"/>
        <item x="212"/>
        <item x="580"/>
        <item x="49"/>
        <item x="798"/>
        <item x="441"/>
        <item x="351"/>
        <item x="358"/>
        <item x="983"/>
        <item x="892"/>
        <item x="849"/>
        <item x="343"/>
        <item x="723"/>
        <item x="631"/>
        <item x="647"/>
        <item x="699"/>
        <item x="28"/>
        <item x="168"/>
        <item x="991"/>
        <item x="944"/>
        <item x="588"/>
        <item x="863"/>
        <item x="980"/>
        <item x="516"/>
        <item x="429"/>
        <item x="247"/>
        <item x="47"/>
        <item x="795"/>
        <item x="33"/>
        <item x="356"/>
        <item x="869"/>
        <item x="159"/>
        <item x="48"/>
        <item x="124"/>
        <item x="83"/>
        <item x="714"/>
        <item x="410"/>
        <item x="528"/>
        <item x="677"/>
        <item x="490"/>
        <item x="966"/>
        <item x="794"/>
        <item x="792"/>
        <item x="342"/>
        <item x="35"/>
        <item x="918"/>
        <item x="72"/>
        <item x="960"/>
        <item x="593"/>
        <item x="679"/>
        <item x="403"/>
        <item x="96"/>
        <item x="620"/>
        <item x="251"/>
        <item x="560"/>
        <item x="544"/>
        <item x="668"/>
        <item x="76"/>
        <item x="2"/>
        <item x="622"/>
        <item x="354"/>
        <item x="868"/>
        <item x="231"/>
        <item x="252"/>
        <item x="938"/>
        <item x="908"/>
        <item x="467"/>
        <item x="891"/>
        <item x="834"/>
        <item x="744"/>
        <item x="264"/>
        <item x="651"/>
        <item x="554"/>
        <item x="331"/>
        <item x="505"/>
        <item x="633"/>
        <item x="160"/>
        <item x="224"/>
        <item x="681"/>
        <item x="450"/>
        <item x="153"/>
        <item x="294"/>
        <item x="741"/>
        <item x="610"/>
        <item x="457"/>
        <item x="992"/>
        <item x="244"/>
        <item x="553"/>
        <item x="774"/>
        <item x="481"/>
        <item x="687"/>
        <item x="406"/>
        <item x="781"/>
        <item x="101"/>
        <item x="578"/>
        <item x="904"/>
        <item x="870"/>
        <item x="330"/>
        <item x="443"/>
        <item x="990"/>
        <item x="589"/>
        <item x="207"/>
        <item x="199"/>
        <item x="857"/>
        <item x="245"/>
        <item x="951"/>
        <item x="671"/>
        <item x="438"/>
        <item x="312"/>
        <item x="415"/>
        <item x="460"/>
        <item x="746"/>
        <item x="616"/>
        <item x="329"/>
        <item x="827"/>
        <item x="706"/>
        <item x="243"/>
        <item x="477"/>
        <item x="522"/>
        <item x="471"/>
        <item x="854"/>
        <item x="757"/>
        <item x="411"/>
        <item x="805"/>
        <item x="796"/>
        <item x="715"/>
        <item x="324"/>
        <item x="540"/>
        <item x="385"/>
        <item x="642"/>
        <item x="34"/>
        <item x="345"/>
        <item x="507"/>
        <item x="948"/>
        <item x="685"/>
        <item x="858"/>
        <item x="550"/>
        <item x="386"/>
        <item x="287"/>
        <item x="64"/>
        <item x="514"/>
        <item x="563"/>
        <item x="840"/>
        <item x="502"/>
        <item x="90"/>
        <item x="786"/>
        <item x="298"/>
        <item x="91"/>
        <item x="402"/>
        <item x="26"/>
        <item x="230"/>
        <item x="169"/>
        <item x="922"/>
        <item x="872"/>
        <item x="232"/>
        <item x="265"/>
        <item x="234"/>
        <item x="193"/>
        <item x="263"/>
        <item x="724"/>
        <item x="964"/>
        <item x="504"/>
        <item x="930"/>
        <item x="344"/>
        <item x="372"/>
        <item x="535"/>
        <item x="876"/>
        <item x="437"/>
        <item x="751"/>
        <item x="653"/>
        <item x="928"/>
        <item x="128"/>
        <item x="148"/>
        <item x="289"/>
        <item x="488"/>
        <item x="326"/>
        <item x="761"/>
        <item x="475"/>
        <item x="59"/>
        <item x="4"/>
        <item x="898"/>
        <item x="210"/>
        <item x="447"/>
        <item x="819"/>
        <item x="11"/>
        <item x="561"/>
        <item x="645"/>
        <item x="30"/>
        <item x="39"/>
        <item x="177"/>
        <item x="321"/>
        <item x="442"/>
        <item x="371"/>
        <item x="51"/>
        <item x="866"/>
        <item x="493"/>
        <item x="164"/>
        <item x="281"/>
        <item x="468"/>
        <item x="947"/>
        <item x="787"/>
        <item x="452"/>
        <item x="583"/>
        <item x="198"/>
        <item x="422"/>
        <item x="370"/>
        <item x="627"/>
        <item x="144"/>
        <item x="873"/>
        <item x="889"/>
        <item x="394"/>
        <item x="141"/>
        <item x="434"/>
        <item x="730"/>
        <item x="149"/>
        <item x="60"/>
        <item x="572"/>
        <item x="884"/>
        <item x="154"/>
        <item x="845"/>
        <item x="748"/>
        <item x="253"/>
        <item x="803"/>
        <item x="375"/>
        <item x="36"/>
        <item x="749"/>
        <item x="527"/>
        <item x="549"/>
        <item x="523"/>
        <item x="614"/>
        <item x="601"/>
        <item x="659"/>
        <item x="925"/>
        <item x="478"/>
        <item x="590"/>
        <item x="113"/>
        <item x="903"/>
        <item x="137"/>
        <item x="46"/>
        <item x="463"/>
        <item x="242"/>
        <item x="37"/>
        <item x="92"/>
        <item x="295"/>
        <item x="745"/>
        <item x="974"/>
        <item x="398"/>
        <item x="573"/>
        <item x="708"/>
        <item x="598"/>
        <item x="107"/>
        <item x="565"/>
        <item x="412"/>
        <item x="585"/>
        <item x="444"/>
        <item x="18"/>
        <item x="108"/>
        <item x="664"/>
        <item x="587"/>
        <item x="377"/>
        <item x="510"/>
        <item x="131"/>
        <item x="142"/>
        <item x="694"/>
        <item x="934"/>
        <item x="648"/>
        <item x="758"/>
        <item x="985"/>
        <item x="778"/>
        <item x="183"/>
        <item x="489"/>
        <item x="404"/>
        <item x="307"/>
        <item x="267"/>
        <item x="519"/>
        <item x="435"/>
        <item x="732"/>
        <item x="807"/>
        <item x="600"/>
        <item x="7"/>
        <item x="811"/>
        <item x="975"/>
        <item x="810"/>
        <item x="865"/>
        <item x="517"/>
        <item x="249"/>
        <item x="223"/>
        <item x="547"/>
        <item x="115"/>
        <item x="122"/>
        <item x="727"/>
        <item x="710"/>
        <item x="877"/>
        <item x="14"/>
        <item x="703"/>
        <item x="191"/>
        <item x="743"/>
        <item x="958"/>
        <item x="973"/>
        <item x="646"/>
        <item x="261"/>
        <item x="780"/>
        <item x="13"/>
        <item x="129"/>
        <item x="624"/>
        <item x="316"/>
        <item x="630"/>
        <item x="661"/>
        <item x="216"/>
        <item x="276"/>
        <item x="665"/>
        <item x="823"/>
        <item x="29"/>
        <item x="476"/>
        <item x="362"/>
        <item x="357"/>
        <item x="455"/>
        <item x="15"/>
        <item x="500"/>
        <item x="380"/>
        <item x="815"/>
        <item x="93"/>
        <item x="382"/>
        <item x="99"/>
        <item x="512"/>
        <item x="483"/>
        <item x="112"/>
        <item x="531"/>
        <item x="924"/>
        <item x="318"/>
        <item x="978"/>
        <item x="487"/>
        <item x="458"/>
        <item x="684"/>
        <item x="309"/>
        <item x="143"/>
        <item x="260"/>
        <item x="419"/>
        <item x="818"/>
        <item x="268"/>
        <item x="897"/>
        <item x="657"/>
        <item x="166"/>
        <item x="542"/>
        <item x="887"/>
        <item x="615"/>
        <item x="541"/>
        <item x="20"/>
        <item x="764"/>
        <item x="895"/>
        <item x="340"/>
        <item x="414"/>
        <item x="417"/>
        <item x="352"/>
        <item x="972"/>
        <item x="116"/>
        <item x="202"/>
        <item x="367"/>
        <item x="871"/>
        <item x="297"/>
        <item x="667"/>
        <item x="760"/>
        <item x="971"/>
        <item x="336"/>
        <item x="660"/>
        <item x="940"/>
        <item x="151"/>
        <item x="43"/>
        <item x="195"/>
        <item x="733"/>
        <item x="56"/>
        <item x="213"/>
        <item x="658"/>
        <item x="906"/>
        <item x="369"/>
        <item x="409"/>
        <item x="643"/>
        <item x="228"/>
        <item x="431"/>
        <item x="712"/>
        <item x="816"/>
        <item x="557"/>
        <item x="813"/>
        <item x="534"/>
        <item x="941"/>
        <item x="413"/>
        <item x="146"/>
        <item x="536"/>
        <item x="163"/>
        <item x="374"/>
        <item x="942"/>
        <item x="273"/>
        <item x="676"/>
        <item x="348"/>
        <item x="215"/>
        <item x="482"/>
        <item x="233"/>
        <item x="106"/>
        <item x="194"/>
        <item x="959"/>
        <item x="606"/>
        <item x="656"/>
        <item x="564"/>
        <item x="427"/>
        <item x="581"/>
        <item x="44"/>
        <item x="729"/>
        <item x="705"/>
        <item x="709"/>
        <item x="984"/>
        <item x="470"/>
        <item x="981"/>
        <item x="570"/>
        <item x="341"/>
        <item x="969"/>
        <item x="888"/>
        <item x="833"/>
        <item x="155"/>
        <item x="977"/>
        <item x="310"/>
        <item x="257"/>
        <item x="776"/>
        <item x="333"/>
        <item x="626"/>
        <item x="690"/>
        <item x="220"/>
        <item x="752"/>
        <item x="277"/>
        <item x="283"/>
        <item x="182"/>
        <item x="801"/>
        <item x="453"/>
        <item x="939"/>
        <item t="default"/>
      </items>
    </pivotField>
    <pivotField showAll="0"/>
    <pivotField numFmtId="9" showAll="0"/>
    <pivotField numFmtId="2"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1"/>
    <field x="10"/>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6" baseField="0" baseItem="0"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CDBBF-41ED-44B6-B887-F67C793188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0" firstHeaderRow="1" firstDataRow="1" firstDataCol="1"/>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items count="324">
        <item x="135"/>
        <item x="316"/>
        <item x="70"/>
        <item x="171"/>
        <item x="195"/>
        <item x="239"/>
        <item x="263"/>
        <item x="256"/>
        <item x="153"/>
        <item x="47"/>
        <item x="51"/>
        <item x="280"/>
        <item x="27"/>
        <item x="255"/>
        <item x="277"/>
        <item x="151"/>
        <item x="219"/>
        <item x="159"/>
        <item x="30"/>
        <item x="241"/>
        <item x="175"/>
        <item x="142"/>
        <item x="89"/>
        <item x="160"/>
        <item x="81"/>
        <item x="303"/>
        <item x="234"/>
        <item x="145"/>
        <item x="218"/>
        <item x="231"/>
        <item x="92"/>
        <item x="232"/>
        <item x="17"/>
        <item x="209"/>
        <item x="272"/>
        <item x="300"/>
        <item x="285"/>
        <item x="52"/>
        <item x="293"/>
        <item x="64"/>
        <item x="197"/>
        <item x="98"/>
        <item x="41"/>
        <item x="259"/>
        <item x="11"/>
        <item x="117"/>
        <item x="284"/>
        <item x="45"/>
        <item x="273"/>
        <item x="298"/>
        <item x="189"/>
        <item x="101"/>
        <item x="31"/>
        <item x="146"/>
        <item x="95"/>
        <item x="65"/>
        <item x="7"/>
        <item x="187"/>
        <item x="173"/>
        <item x="238"/>
        <item x="78"/>
        <item x="136"/>
        <item x="124"/>
        <item x="140"/>
        <item x="75"/>
        <item x="271"/>
        <item x="289"/>
        <item x="28"/>
        <item x="20"/>
        <item x="91"/>
        <item x="182"/>
        <item x="291"/>
        <item x="103"/>
        <item x="36"/>
        <item x="210"/>
        <item x="262"/>
        <item x="282"/>
        <item x="240"/>
        <item x="73"/>
        <item x="250"/>
        <item x="130"/>
        <item x="276"/>
        <item x="176"/>
        <item x="61"/>
        <item x="121"/>
        <item x="34"/>
        <item x="222"/>
        <item x="44"/>
        <item x="278"/>
        <item x="93"/>
        <item x="2"/>
        <item x="88"/>
        <item x="23"/>
        <item x="169"/>
        <item x="97"/>
        <item x="305"/>
        <item x="128"/>
        <item x="208"/>
        <item x="53"/>
        <item x="288"/>
        <item x="105"/>
        <item x="157"/>
        <item x="125"/>
        <item x="216"/>
        <item x="119"/>
        <item x="319"/>
        <item x="314"/>
        <item x="1"/>
        <item x="84"/>
        <item x="307"/>
        <item x="29"/>
        <item x="71"/>
        <item x="177"/>
        <item x="3"/>
        <item x="152"/>
        <item x="109"/>
        <item x="168"/>
        <item x="230"/>
        <item x="212"/>
        <item x="137"/>
        <item x="249"/>
        <item x="183"/>
        <item x="21"/>
        <item x="233"/>
        <item x="174"/>
        <item x="226"/>
        <item x="237"/>
        <item x="203"/>
        <item x="18"/>
        <item x="202"/>
        <item x="215"/>
        <item x="243"/>
        <item x="221"/>
        <item x="268"/>
        <item x="57"/>
        <item x="290"/>
        <item x="80"/>
        <item x="132"/>
        <item x="254"/>
        <item x="99"/>
        <item x="199"/>
        <item x="223"/>
        <item x="8"/>
        <item x="248"/>
        <item x="252"/>
        <item x="15"/>
        <item x="244"/>
        <item x="206"/>
        <item x="112"/>
        <item x="204"/>
        <item x="25"/>
        <item x="158"/>
        <item x="60"/>
        <item x="296"/>
        <item x="299"/>
        <item x="166"/>
        <item x="90"/>
        <item x="304"/>
        <item x="214"/>
        <item x="253"/>
        <item x="143"/>
        <item x="283"/>
        <item x="19"/>
        <item x="251"/>
        <item x="185"/>
        <item x="127"/>
        <item x="172"/>
        <item x="260"/>
        <item x="85"/>
        <item x="10"/>
        <item x="161"/>
        <item x="0"/>
        <item x="245"/>
        <item x="96"/>
        <item x="114"/>
        <item x="72"/>
        <item x="236"/>
        <item x="77"/>
        <item x="150"/>
        <item x="180"/>
        <item x="14"/>
        <item x="86"/>
        <item x="110"/>
        <item x="179"/>
        <item x="311"/>
        <item x="167"/>
        <item x="281"/>
        <item x="181"/>
        <item x="12"/>
        <item x="111"/>
        <item x="261"/>
        <item x="39"/>
        <item x="196"/>
        <item x="258"/>
        <item x="257"/>
        <item x="63"/>
        <item x="116"/>
        <item x="213"/>
        <item x="297"/>
        <item x="322"/>
        <item x="37"/>
        <item x="149"/>
        <item x="62"/>
        <item x="292"/>
        <item x="46"/>
        <item x="120"/>
        <item x="32"/>
        <item x="106"/>
        <item x="9"/>
        <item x="5"/>
        <item x="178"/>
        <item x="217"/>
        <item x="104"/>
        <item x="224"/>
        <item x="229"/>
        <item x="247"/>
        <item x="26"/>
        <item x="242"/>
        <item x="320"/>
        <item x="33"/>
        <item x="270"/>
        <item x="83"/>
        <item x="123"/>
        <item x="186"/>
        <item x="228"/>
        <item x="313"/>
        <item x="59"/>
        <item x="190"/>
        <item x="126"/>
        <item x="16"/>
        <item x="79"/>
        <item x="275"/>
        <item x="310"/>
        <item x="155"/>
        <item x="102"/>
        <item x="42"/>
        <item x="76"/>
        <item x="148"/>
        <item x="68"/>
        <item x="118"/>
        <item x="309"/>
        <item x="265"/>
        <item x="108"/>
        <item x="38"/>
        <item x="6"/>
        <item x="50"/>
        <item x="163"/>
        <item x="87"/>
        <item x="312"/>
        <item x="191"/>
        <item x="170"/>
        <item x="306"/>
        <item x="192"/>
        <item x="198"/>
        <item x="67"/>
        <item x="35"/>
        <item x="287"/>
        <item x="211"/>
        <item x="13"/>
        <item x="164"/>
        <item x="131"/>
        <item x="4"/>
        <item x="113"/>
        <item x="138"/>
        <item x="188"/>
        <item x="49"/>
        <item x="58"/>
        <item x="94"/>
        <item x="294"/>
        <item x="286"/>
        <item x="264"/>
        <item x="69"/>
        <item x="100"/>
        <item x="308"/>
        <item x="207"/>
        <item x="246"/>
        <item x="141"/>
        <item x="201"/>
        <item x="162"/>
        <item x="301"/>
        <item x="133"/>
        <item x="200"/>
        <item x="295"/>
        <item x="107"/>
        <item x="302"/>
        <item x="267"/>
        <item x="269"/>
        <item x="144"/>
        <item x="40"/>
        <item x="220"/>
        <item x="82"/>
        <item x="74"/>
        <item x="122"/>
        <item x="193"/>
        <item x="66"/>
        <item x="115"/>
        <item x="194"/>
        <item x="227"/>
        <item x="56"/>
        <item x="274"/>
        <item x="129"/>
        <item x="22"/>
        <item x="225"/>
        <item x="43"/>
        <item x="24"/>
        <item x="321"/>
        <item x="205"/>
        <item x="134"/>
        <item x="55"/>
        <item x="318"/>
        <item x="279"/>
        <item x="154"/>
        <item x="54"/>
        <item x="317"/>
        <item x="147"/>
        <item x="266"/>
        <item x="139"/>
        <item x="184"/>
        <item x="48"/>
        <item x="235"/>
        <item x="315"/>
        <item x="156"/>
        <item x="165"/>
        <item t="default"/>
      </items>
    </pivotField>
    <pivotField showAll="0"/>
    <pivotField showAll="0"/>
    <pivotField showAll="0"/>
    <pivotField axis="axisRow" showAll="0" sortType="descending">
      <items count="8">
        <item h="1" x="5"/>
        <item x="4"/>
        <item x="0"/>
        <item x="1"/>
        <item x="2"/>
        <item x="3"/>
        <item x="6"/>
        <item t="default"/>
      </items>
      <autoSortScope>
        <pivotArea dataOnly="0" outline="0" fieldPosition="0">
          <references count="1">
            <reference field="4294967294" count="1" selected="0">
              <x v="0"/>
            </reference>
          </references>
        </pivotArea>
      </autoSortScope>
    </pivotField>
    <pivotField dataField="1" numFmtId="2" showAll="0"/>
    <pivotField showAll="0"/>
    <pivotField numFmtId="9" showAll="0"/>
    <pivotField numFmtId="2" showAll="0"/>
    <pivotField showAll="0" defaultSubtotal="0"/>
    <pivotField showAll="0" defaultSubtotal="0">
      <items count="3">
        <item x="0"/>
        <item x="1"/>
        <item x="2"/>
      </items>
    </pivotField>
  </pivotFields>
  <rowFields count="1">
    <field x="5"/>
  </rowFields>
  <rowItems count="7">
    <i>
      <x v="4"/>
    </i>
    <i>
      <x v="1"/>
    </i>
    <i>
      <x v="3"/>
    </i>
    <i>
      <x v="5"/>
    </i>
    <i>
      <x v="2"/>
    </i>
    <i>
      <x v="6"/>
    </i>
    <i t="grand">
      <x/>
    </i>
  </rowItems>
  <colItems count="1">
    <i/>
  </colItems>
  <dataFields count="1">
    <dataField name="Sum of Sales" fld="6" baseField="0" baseItem="0" numFmtId="2"/>
  </dataFields>
  <chartFormats count="3">
    <chartFormat chart="2" format="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D5C398-0852-4237-A2AC-4E0E8EE6C869}" sourceName="Category">
  <pivotTables>
    <pivotTable tabId="2" name="PivotTable1"/>
  </pivotTables>
  <data>
    <tabular pivotCacheId="50981387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C2F8CB8-2D67-48CA-8CAA-595A8619B494}" sourceName="Sales">
  <pivotTables>
    <pivotTable tabId="2" name="PivotTable1"/>
  </pivotTables>
  <data>
    <tabular pivotCacheId="509813878">
      <items count="995">
        <i x="339" s="1"/>
        <i x="847" s="1"/>
        <i x="132" s="1"/>
        <i x="480" s="1"/>
        <i x="556" s="1"/>
        <i x="376" s="1"/>
        <i x="965" s="1"/>
        <i x="899" s="1"/>
        <i x="416" s="1"/>
        <i x="473" s="1"/>
        <i x="754" s="1"/>
        <i x="203" s="1"/>
        <i x="22" s="1"/>
        <i x="497" s="1"/>
        <i x="121" s="1"/>
        <i x="711" s="1"/>
        <i x="456" s="1"/>
        <i x="305" s="1"/>
        <i x="420" s="1"/>
        <i x="388" s="1"/>
        <i x="85" s="1"/>
        <i x="172" s="1"/>
        <i x="24" s="1"/>
        <i x="562" s="1"/>
        <i x="180" s="1"/>
        <i x="125" s="1"/>
        <i x="602" s="1"/>
        <i x="285" s="1"/>
        <i x="524" s="1"/>
        <i x="236" s="1"/>
        <i x="608" s="1"/>
        <i x="459" s="1"/>
        <i x="913" s="1"/>
        <i x="408" s="1"/>
        <i x="559" s="1"/>
        <i x="843" s="1"/>
        <i x="495" s="1"/>
        <i x="988" s="1"/>
        <i x="800" s="1"/>
        <i x="682" s="1"/>
        <i x="613" s="1"/>
        <i x="40" s="1"/>
        <i x="529" s="1"/>
        <i x="832" s="1"/>
        <i x="763" s="1"/>
        <i x="27" s="1"/>
        <i x="10" s="1"/>
        <i x="227" s="1"/>
        <i x="23" s="1"/>
        <i x="440" s="1"/>
        <i x="864" s="1"/>
        <i x="802" s="1"/>
        <i x="644" s="1"/>
        <i x="625" s="1"/>
        <i x="270" s="1"/>
        <i x="539" s="1"/>
        <i x="302" s="1"/>
        <i x="768" s="1"/>
        <i x="464" s="1"/>
        <i x="41" s="1"/>
        <i x="162" s="1"/>
        <i x="750" s="1"/>
        <i x="424" s="1"/>
        <i x="782" s="1"/>
        <i x="147" s="1"/>
        <i x="407" s="1"/>
        <i x="485" s="1"/>
        <i x="982" s="1"/>
        <i x="45" s="1"/>
        <i x="69" s="1"/>
        <i x="793" s="1"/>
        <i x="844" s="1"/>
        <i x="759" s="1"/>
        <i x="520" s="1"/>
        <i x="860" s="1"/>
        <i x="916" s="1"/>
        <i x="848" s="1"/>
        <i x="206" s="1"/>
        <i x="71" s="1"/>
        <i x="611" s="1"/>
        <i x="373" s="1"/>
        <i x="314" s="1"/>
        <i x="936" s="1"/>
        <i x="42" s="1"/>
        <i x="641" s="1"/>
        <i x="204" s="1"/>
        <i x="229" s="1"/>
        <i x="839" s="1"/>
        <i x="882" s="1"/>
        <i x="929" s="1"/>
        <i x="88" s="1"/>
        <i x="315" s="1"/>
        <i x="272" s="1"/>
        <i x="920" s="1"/>
        <i x="392" s="1"/>
        <i x="515" s="1"/>
        <i x="498" s="1"/>
        <i x="867" s="1"/>
        <i x="511" s="1"/>
        <i x="525" s="1"/>
        <i x="280" s="1"/>
        <i x="927" s="1"/>
        <i x="327" s="1"/>
        <i x="109" s="1"/>
        <i x="772" s="1"/>
        <i x="921" s="1"/>
        <i x="599" s="1"/>
        <i x="157" s="1"/>
        <i x="954" s="1"/>
        <i x="775" s="1"/>
        <i x="912" s="1"/>
        <i x="725" s="1"/>
        <i x="609" s="1"/>
        <i x="152" s="1"/>
        <i x="861" s="1"/>
        <i x="987" s="1"/>
        <i x="474" s="1"/>
        <i x="779" s="1"/>
        <i x="979" s="1"/>
        <i x="426" s="1"/>
        <i x="301" s="1"/>
        <i x="963" s="1"/>
        <i x="962" s="1"/>
        <i x="368" s="1"/>
        <i x="73" s="1"/>
        <i x="161" s="1"/>
        <i x="52" s="1"/>
        <i x="612" s="1"/>
        <i x="632" s="1"/>
        <i x="494" s="1"/>
        <i x="205" s="1"/>
        <i x="672" s="1"/>
        <i x="968" s="1"/>
        <i x="197" s="1"/>
        <i x="8" s="1"/>
        <i x="704" s="1"/>
        <i x="269" s="1"/>
        <i x="546" s="1"/>
        <i x="421" s="1"/>
        <i x="335" s="1"/>
        <i x="604" s="1"/>
        <i x="695" s="1"/>
        <i x="689" s="1"/>
        <i x="66" s="1"/>
        <i x="256" s="1"/>
        <i x="492" s="1"/>
        <i x="862" s="1"/>
        <i x="926" s="1"/>
        <i x="158" s="1"/>
        <i x="735" s="1"/>
        <i x="250" s="1"/>
        <i x="789" s="1"/>
        <i x="702" s="1"/>
        <i x="662" s="1"/>
        <i x="777" s="1"/>
        <i x="932" s="1"/>
        <i x="804" s="1"/>
        <i x="953" s="1"/>
        <i x="170" s="1"/>
        <i x="303" s="1"/>
        <i x="571" s="1"/>
        <i x="851" s="1"/>
        <i x="436" s="1"/>
        <i x="365" s="1"/>
        <i x="909" s="1"/>
        <i x="484" s="1"/>
        <i x="325" s="1"/>
        <i x="853" s="1"/>
        <i x="852" s="1"/>
        <i x="994" s="1"/>
        <i x="790" s="1"/>
        <i x="955" s="1"/>
        <i x="430" s="1"/>
        <i x="688" s="1"/>
        <i x="885" s="1"/>
        <i x="360" s="1"/>
        <i x="84" s="1"/>
        <i x="63" s="1"/>
        <i x="176" s="1"/>
        <i x="361" s="1"/>
        <i x="683" s="1"/>
        <i x="691" s="1"/>
        <i x="850" s="1"/>
        <i x="597" s="1"/>
        <i x="919" s="1"/>
        <i x="86" s="1"/>
        <i x="255" s="1"/>
        <i x="100" s="1"/>
        <i x="127" s="1"/>
        <i x="591" s="1"/>
        <i x="880" s="1"/>
        <i x="184" s="1"/>
        <i x="217" s="1"/>
        <i x="915" s="1"/>
        <i x="98" s="1"/>
        <i x="855" s="1"/>
        <i x="756" s="1"/>
        <i x="138" s="1"/>
        <i x="686" s="1"/>
        <i x="629" s="1"/>
        <i x="62" s="1"/>
        <i x="663" s="1"/>
        <i x="765" s="1"/>
        <i x="188" s="1"/>
        <i x="248" s="1"/>
        <i x="469" s="1"/>
        <i x="165" s="1"/>
        <i x="806" s="1"/>
        <i x="383" s="1"/>
        <i x="755" s="1"/>
        <i x="67" s="1"/>
        <i x="503" s="1"/>
        <i x="397" s="1"/>
        <i x="900" s="1"/>
        <i x="311" s="1"/>
        <i x="530" s="1"/>
        <i x="701" s="1"/>
        <i x="12" s="1"/>
        <i x="239" s="1"/>
        <i x="740" s="1"/>
        <i x="291" s="1"/>
        <i x="75" s="1"/>
        <i x="674" s="1"/>
        <i x="579" s="1"/>
        <i x="381" s="1"/>
        <i x="506" s="1"/>
        <i x="246" s="1"/>
        <i x="874" s="1"/>
        <i x="881" s="1"/>
        <i x="713" s="1"/>
        <i x="937" s="1"/>
        <i x="425" s="1"/>
        <i x="907" s="1"/>
        <i x="829" s="1"/>
        <i x="167" s="1"/>
        <i x="185" s="1"/>
        <i x="19" s="1"/>
        <i x="486" s="1"/>
        <i x="552" s="1"/>
        <i x="799" s="1"/>
        <i x="350" s="1"/>
        <i x="603" s="1"/>
        <i x="817" s="1"/>
        <i x="766" s="1"/>
        <i x="652" s="1"/>
        <i x="133" s="1"/>
        <i x="957" s="1"/>
        <i x="617" s="1"/>
        <i x="902" s="1"/>
        <i x="192" s="1"/>
        <i x="543" s="1"/>
        <i x="826" s="1"/>
        <i x="94" s="1"/>
        <i x="545" s="1"/>
        <i x="461" s="1"/>
        <i x="319" s="1"/>
        <i x="181" s="1"/>
        <i x="720" s="1"/>
        <i x="300" s="1"/>
        <i x="118" s="1"/>
        <i x="605" s="1"/>
        <i x="574" s="1"/>
        <i x="739" s="1"/>
        <i x="405" s="1"/>
        <i x="79" s="1"/>
        <i x="349" s="1"/>
        <i x="582" s="1"/>
        <i x="462" s="1"/>
        <i x="134" s="1"/>
        <i x="31" s="1"/>
        <i x="58" s="1"/>
        <i x="967" s="1"/>
        <i x="558" s="1"/>
        <i x="526" s="1"/>
        <i x="390" s="1"/>
        <i x="721" s="1"/>
        <i x="428" s="1"/>
        <i x="785" s="1"/>
        <i x="607" s="1"/>
        <i x="518" s="1"/>
        <i x="226" s="1"/>
        <i x="773" s="1"/>
        <i x="718" s="1"/>
        <i x="1" s="1"/>
        <i x="454" s="1"/>
        <i x="859" s="1"/>
        <i x="737" s="1"/>
        <i x="400" s="1"/>
        <i x="767" s="1"/>
        <i x="54" s="1"/>
        <i x="548" s="1"/>
        <i x="634" s="1"/>
        <i x="77" s="1"/>
        <i x="201" s="1"/>
        <i x="323" s="1"/>
        <i x="784" s="1"/>
        <i x="87" s="1"/>
        <i x="379" s="1"/>
        <i x="16" s="1"/>
        <i x="401" s="1"/>
        <i x="638" s="1"/>
        <i x="738" s="1"/>
        <i x="717" s="1"/>
        <i x="856" s="1"/>
        <i x="640" s="1"/>
        <i x="156" s="1"/>
        <i x="219" s="1"/>
        <i x="890" s="1"/>
        <i x="114" s="1"/>
        <i x="214" s="1"/>
        <i x="278" s="1"/>
        <i x="742" s="1"/>
        <i x="17" s="1"/>
        <i x="55" s="1"/>
        <i x="950" s="1"/>
        <i x="139" s="1"/>
        <i x="698" s="1"/>
        <i x="174" s="1"/>
        <i x="466" s="1"/>
        <i x="976" s="1"/>
        <i x="993" s="1"/>
        <i x="259" s="1"/>
        <i x="286" s="1"/>
        <i x="395" s="1"/>
        <i x="707" s="1"/>
        <i x="812" s="1"/>
        <i x="238" s="1"/>
        <i x="3" s="1"/>
        <i x="196" s="1"/>
        <i x="825" s="1"/>
        <i x="595" s="1"/>
        <i x="282" s="1"/>
        <i x="731" s="1"/>
        <i x="719" s="1"/>
        <i x="905" s="1"/>
        <i x="337" s="1"/>
        <i x="594" s="1"/>
        <i x="566" s="1"/>
        <i x="359" s="1"/>
        <i x="830" s="1"/>
        <i x="753" s="1"/>
        <i x="769" s="1"/>
        <i x="820" s="1"/>
        <i x="989" s="1"/>
        <i x="110" s="1"/>
        <i x="208" s="1"/>
        <i x="211" s="1"/>
        <i x="284" s="1"/>
        <i x="943" s="1"/>
        <i x="274" s="1"/>
        <i x="120" s="1"/>
        <i x="237" s="1"/>
        <i x="814" s="1"/>
        <i x="822" s="1"/>
        <i x="296" s="1"/>
        <i x="673" s="1"/>
        <i x="292" s="1"/>
        <i x="363" s="1"/>
        <i x="293" s="1"/>
        <i x="568" s="1"/>
        <i x="32" s="1"/>
        <i x="396" s="1"/>
        <i x="472" s="1"/>
        <i x="334" s="1"/>
        <i x="136" s="1"/>
        <i x="654" s="1"/>
        <i x="970" s="1"/>
        <i x="788" s="1"/>
        <i x="639" s="1"/>
        <i x="266" s="1"/>
        <i x="809" s="1"/>
        <i x="171" s="1"/>
        <i x="21" s="1"/>
        <i x="387" s="1"/>
        <i x="271" s="1"/>
        <i x="104" s="1"/>
        <i x="747" s="1"/>
        <i x="837" s="1"/>
        <i x="209" s="1"/>
        <i x="117" s="1"/>
        <i x="304" s="1"/>
        <i x="320" s="1"/>
        <i x="200" s="1"/>
        <i x="258" s="1"/>
        <i x="61" s="1"/>
        <i x="173" s="1"/>
        <i x="576" s="1"/>
        <i x="911" s="1"/>
        <i x="391" s="1"/>
        <i x="901" s="1"/>
        <i x="25" s="1"/>
        <i x="240" s="1"/>
        <i x="432" s="1"/>
        <i x="551" s="1"/>
        <i x="123" s="1"/>
        <i x="655" s="1"/>
        <i x="338" s="1"/>
        <i x="716" s="1"/>
        <i x="0" s="1"/>
        <i x="935" s="1"/>
        <i x="366" s="1"/>
        <i x="842" s="1"/>
        <i x="235" s="1"/>
        <i x="878" s="1"/>
        <i x="797" s="1"/>
        <i x="946" s="1"/>
        <i x="491" s="1"/>
        <i x="317" s="1"/>
        <i x="986" s="1"/>
        <i x="697" s="1"/>
        <i x="423" s="1"/>
        <i x="577" s="1"/>
        <i x="961" s="1"/>
        <i x="178" s="1"/>
        <i x="623" s="1"/>
        <i x="80" s="1"/>
        <i x="945" s="1"/>
        <i x="179" s="1"/>
        <i x="288" s="1"/>
        <i x="145" s="1"/>
        <i x="222" s="1"/>
        <i x="102" s="1"/>
        <i x="218" s="1"/>
        <i x="649" s="1"/>
        <i x="894" s="1"/>
        <i x="619" s="1"/>
        <i x="678" s="1"/>
        <i x="835" s="1"/>
        <i x="111" s="1"/>
        <i x="618" s="1"/>
        <i x="836" s="1"/>
        <i x="734" s="1"/>
        <i x="669" s="1"/>
        <i x="828" s="1"/>
        <i x="57" s="1"/>
        <i x="187" s="1"/>
        <i x="449" s="1"/>
        <i x="364" s="1"/>
        <i x="189" s="1"/>
        <i x="186" s="1"/>
        <i x="299" s="1"/>
        <i x="532" s="1"/>
        <i x="569" s="1"/>
        <i x="262" s="1"/>
        <i x="808" s="1"/>
        <i x="893" s="1"/>
        <i x="883" s="1"/>
        <i x="555" s="1"/>
        <i x="692" s="1"/>
        <i x="378" s="1"/>
        <i x="82" s="1"/>
        <i x="97" s="1"/>
        <i x="446" s="1"/>
        <i x="5" s="1"/>
        <i x="831" s="1"/>
        <i x="290" s="1"/>
        <i x="509" s="1"/>
        <i x="726" s="1"/>
        <i x="949" s="1"/>
        <i x="355" s="1"/>
        <i x="95" s="1"/>
        <i x="621" s="1"/>
        <i x="68" s="1"/>
        <i x="306" s="1"/>
        <i x="279" s="1"/>
        <i x="313" s="1"/>
        <i x="389" s="1"/>
        <i x="499" s="1"/>
        <i x="190" s="1"/>
        <i x="70" s="1"/>
        <i x="105" s="1"/>
        <i x="670" s="1"/>
        <i x="175" s="1"/>
        <i x="89" s="1"/>
        <i x="126" s="1"/>
        <i x="762" s="1"/>
        <i x="886" s="1"/>
        <i x="513" s="1"/>
        <i x="38" s="1"/>
        <i x="696" s="1"/>
        <i x="78" s="1"/>
        <i x="328" s="1"/>
        <i x="879" s="1"/>
        <i x="933" s="1"/>
        <i x="275" s="1"/>
        <i x="501" s="1"/>
        <i x="914" s="1"/>
        <i x="675" s="1"/>
        <i x="584" s="1"/>
        <i x="596" s="1"/>
        <i x="838" s="1"/>
        <i x="433" s="1"/>
        <i x="508" s="1"/>
        <i x="917" s="1"/>
        <i x="448" s="1"/>
        <i x="728" s="1"/>
        <i x="650" s="1"/>
        <i x="592" s="1"/>
        <i x="693" s="1"/>
        <i x="119" s="1"/>
        <i x="952" s="1"/>
        <i x="586" s="1"/>
        <i x="841" s="1"/>
        <i x="521" s="1"/>
        <i x="353" s="1"/>
        <i x="140" s="1"/>
        <i x="770" s="1"/>
        <i x="537" s="1"/>
        <i x="910" s="1"/>
        <i x="103" s="1"/>
        <i x="393" s="1"/>
        <i x="628" s="1"/>
        <i x="399" s="1"/>
        <i x="254" s="1"/>
        <i x="567" s="1"/>
        <i x="896" s="1"/>
        <i x="332" s="1"/>
        <i x="135" s="1"/>
        <i x="322" s="1"/>
        <i x="783" s="1"/>
        <i x="347" s="1"/>
        <i x="538" s="1"/>
        <i x="150" s="1"/>
        <i x="636" s="1"/>
        <i x="821" s="1"/>
        <i x="575" s="1"/>
        <i x="722" s="1"/>
        <i x="700" s="1"/>
        <i x="6" s="1"/>
        <i x="221" s="1"/>
        <i x="533" s="1"/>
        <i x="496" s="1"/>
        <i x="931" s="1"/>
        <i x="308" s="1"/>
        <i x="824" s="1"/>
        <i x="666" s="1"/>
        <i x="50" s="1"/>
        <i x="418" s="1"/>
        <i x="923" s="1"/>
        <i x="439" s="1"/>
        <i x="9" s="1"/>
        <i x="791" s="1"/>
        <i x="53" s="1"/>
        <i x="451" s="1"/>
        <i x="680" s="1"/>
        <i x="74" s="1"/>
        <i x="635" s="1"/>
        <i x="81" s="1"/>
        <i x="736" s="1"/>
        <i x="445" s="1"/>
        <i x="65" s="1"/>
        <i x="956" s="1"/>
        <i x="130" s="1"/>
        <i x="875" s="1"/>
        <i x="384" s="1"/>
        <i x="346" s="1"/>
        <i x="771" s="1"/>
        <i x="479" s="1"/>
        <i x="241" s="1"/>
        <i x="465" s="1"/>
        <i x="637" s="1"/>
        <i x="846" s="1"/>
        <i x="225" s="1"/>
        <i x="212" s="1"/>
        <i x="580" s="1"/>
        <i x="49" s="1"/>
        <i x="798" s="1"/>
        <i x="441" s="1"/>
        <i x="351" s="1"/>
        <i x="358" s="1"/>
        <i x="983" s="1"/>
        <i x="892" s="1"/>
        <i x="849" s="1"/>
        <i x="343" s="1"/>
        <i x="723" s="1"/>
        <i x="631" s="1"/>
        <i x="647" s="1"/>
        <i x="699" s="1"/>
        <i x="28" s="1"/>
        <i x="168" s="1"/>
        <i x="991" s="1"/>
        <i x="944" s="1"/>
        <i x="588" s="1"/>
        <i x="863" s="1"/>
        <i x="980" s="1"/>
        <i x="516" s="1"/>
        <i x="429" s="1"/>
        <i x="247" s="1"/>
        <i x="47" s="1"/>
        <i x="795" s="1"/>
        <i x="33" s="1"/>
        <i x="356" s="1"/>
        <i x="869" s="1"/>
        <i x="159" s="1"/>
        <i x="48" s="1"/>
        <i x="124" s="1"/>
        <i x="83" s="1"/>
        <i x="714" s="1"/>
        <i x="410" s="1"/>
        <i x="528" s="1"/>
        <i x="677" s="1"/>
        <i x="490" s="1"/>
        <i x="966" s="1"/>
        <i x="794" s="1"/>
        <i x="792" s="1"/>
        <i x="342" s="1"/>
        <i x="35" s="1"/>
        <i x="918" s="1"/>
        <i x="72" s="1"/>
        <i x="960" s="1"/>
        <i x="593" s="1"/>
        <i x="679" s="1"/>
        <i x="403" s="1"/>
        <i x="96" s="1"/>
        <i x="620" s="1"/>
        <i x="251" s="1"/>
        <i x="560" s="1"/>
        <i x="544" s="1"/>
        <i x="668" s="1"/>
        <i x="76" s="1"/>
        <i x="2" s="1"/>
        <i x="622" s="1"/>
        <i x="354" s="1"/>
        <i x="868" s="1"/>
        <i x="231" s="1"/>
        <i x="252" s="1"/>
        <i x="938" s="1"/>
        <i x="908" s="1"/>
        <i x="467" s="1"/>
        <i x="891" s="1"/>
        <i x="834" s="1"/>
        <i x="744" s="1"/>
        <i x="264" s="1"/>
        <i x="651" s="1"/>
        <i x="554" s="1"/>
        <i x="331" s="1"/>
        <i x="505" s="1"/>
        <i x="633" s="1"/>
        <i x="160" s="1"/>
        <i x="224" s="1"/>
        <i x="681" s="1"/>
        <i x="450" s="1"/>
        <i x="153" s="1"/>
        <i x="294" s="1"/>
        <i x="741" s="1"/>
        <i x="610" s="1"/>
        <i x="457" s="1"/>
        <i x="992" s="1"/>
        <i x="244" s="1"/>
        <i x="553" s="1"/>
        <i x="774" s="1"/>
        <i x="481" s="1"/>
        <i x="687" s="1"/>
        <i x="406" s="1"/>
        <i x="781" s="1"/>
        <i x="101" s="1"/>
        <i x="578" s="1"/>
        <i x="904" s="1"/>
        <i x="870" s="1"/>
        <i x="330" s="1"/>
        <i x="443" s="1"/>
        <i x="990" s="1"/>
        <i x="589" s="1"/>
        <i x="207" s="1"/>
        <i x="199" s="1"/>
        <i x="857" s="1"/>
        <i x="245" s="1"/>
        <i x="951" s="1"/>
        <i x="671" s="1"/>
        <i x="438" s="1"/>
        <i x="312" s="1"/>
        <i x="415" s="1"/>
        <i x="460" s="1"/>
        <i x="746" s="1"/>
        <i x="616" s="1"/>
        <i x="329" s="1"/>
        <i x="827" s="1"/>
        <i x="706" s="1"/>
        <i x="243" s="1"/>
        <i x="477" s="1"/>
        <i x="522" s="1"/>
        <i x="471" s="1"/>
        <i x="854" s="1"/>
        <i x="757" s="1"/>
        <i x="411" s="1"/>
        <i x="805" s="1"/>
        <i x="796" s="1"/>
        <i x="715" s="1"/>
        <i x="324" s="1"/>
        <i x="540" s="1"/>
        <i x="385" s="1"/>
        <i x="642" s="1"/>
        <i x="34" s="1"/>
        <i x="345" s="1"/>
        <i x="507" s="1"/>
        <i x="948" s="1"/>
        <i x="685" s="1"/>
        <i x="858" s="1"/>
        <i x="550" s="1"/>
        <i x="386" s="1"/>
        <i x="287" s="1"/>
        <i x="64" s="1"/>
        <i x="514" s="1"/>
        <i x="563" s="1"/>
        <i x="840" s="1"/>
        <i x="502" s="1"/>
        <i x="90" s="1"/>
        <i x="786" s="1"/>
        <i x="298" s="1"/>
        <i x="91" s="1"/>
        <i x="402" s="1"/>
        <i x="26" s="1"/>
        <i x="230" s="1"/>
        <i x="169" s="1"/>
        <i x="922" s="1"/>
        <i x="872" s="1"/>
        <i x="232" s="1"/>
        <i x="265" s="1"/>
        <i x="234" s="1"/>
        <i x="193" s="1"/>
        <i x="263" s="1"/>
        <i x="724" s="1"/>
        <i x="964" s="1"/>
        <i x="504" s="1"/>
        <i x="930" s="1"/>
        <i x="344" s="1"/>
        <i x="372" s="1"/>
        <i x="535" s="1"/>
        <i x="876" s="1"/>
        <i x="437" s="1"/>
        <i x="751" s="1"/>
        <i x="653" s="1"/>
        <i x="928" s="1"/>
        <i x="128" s="1"/>
        <i x="148" s="1"/>
        <i x="289" s="1"/>
        <i x="488" s="1"/>
        <i x="326" s="1"/>
        <i x="761" s="1"/>
        <i x="475" s="1"/>
        <i x="59" s="1"/>
        <i x="4" s="1"/>
        <i x="898" s="1"/>
        <i x="210" s="1"/>
        <i x="447" s="1"/>
        <i x="819" s="1"/>
        <i x="11" s="1"/>
        <i x="561" s="1"/>
        <i x="645" s="1"/>
        <i x="30" s="1"/>
        <i x="39" s="1"/>
        <i x="177" s="1"/>
        <i x="321" s="1"/>
        <i x="442" s="1"/>
        <i x="371" s="1"/>
        <i x="51" s="1"/>
        <i x="866" s="1"/>
        <i x="493" s="1"/>
        <i x="164" s="1"/>
        <i x="281" s="1"/>
        <i x="468" s="1"/>
        <i x="947" s="1"/>
        <i x="787" s="1"/>
        <i x="452" s="1"/>
        <i x="583" s="1"/>
        <i x="198" s="1"/>
        <i x="422" s="1"/>
        <i x="370" s="1"/>
        <i x="627" s="1"/>
        <i x="144" s="1"/>
        <i x="873" s="1"/>
        <i x="889" s="1"/>
        <i x="394" s="1"/>
        <i x="141" s="1"/>
        <i x="434" s="1"/>
        <i x="730" s="1"/>
        <i x="149" s="1"/>
        <i x="60" s="1"/>
        <i x="572" s="1"/>
        <i x="884" s="1"/>
        <i x="154" s="1"/>
        <i x="845" s="1"/>
        <i x="748" s="1"/>
        <i x="253" s="1"/>
        <i x="803" s="1"/>
        <i x="375" s="1"/>
        <i x="36" s="1"/>
        <i x="749" s="1"/>
        <i x="527" s="1"/>
        <i x="549" s="1"/>
        <i x="523" s="1"/>
        <i x="614" s="1"/>
        <i x="601" s="1"/>
        <i x="659" s="1"/>
        <i x="925" s="1"/>
        <i x="478" s="1"/>
        <i x="590" s="1"/>
        <i x="113" s="1"/>
        <i x="903" s="1"/>
        <i x="137" s="1"/>
        <i x="46" s="1"/>
        <i x="463" s="1"/>
        <i x="242" s="1"/>
        <i x="37" s="1"/>
        <i x="92" s="1"/>
        <i x="295" s="1"/>
        <i x="745" s="1"/>
        <i x="974" s="1"/>
        <i x="398" s="1"/>
        <i x="573" s="1"/>
        <i x="708" s="1"/>
        <i x="598" s="1"/>
        <i x="107" s="1"/>
        <i x="565" s="1"/>
        <i x="412" s="1"/>
        <i x="585" s="1"/>
        <i x="444" s="1"/>
        <i x="18" s="1"/>
        <i x="108" s="1"/>
        <i x="664" s="1"/>
        <i x="587" s="1"/>
        <i x="377" s="1"/>
        <i x="510" s="1"/>
        <i x="131" s="1"/>
        <i x="142" s="1"/>
        <i x="694" s="1"/>
        <i x="934" s="1"/>
        <i x="648" s="1"/>
        <i x="758" s="1"/>
        <i x="985" s="1"/>
        <i x="778" s="1"/>
        <i x="183" s="1"/>
        <i x="489" s="1"/>
        <i x="404" s="1"/>
        <i x="307" s="1"/>
        <i x="267" s="1"/>
        <i x="519" s="1"/>
        <i x="435" s="1"/>
        <i x="732" s="1"/>
        <i x="807" s="1"/>
        <i x="600" s="1"/>
        <i x="7" s="1"/>
        <i x="811" s="1"/>
        <i x="975" s="1"/>
        <i x="810" s="1"/>
        <i x="865" s="1"/>
        <i x="517" s="1"/>
        <i x="249" s="1"/>
        <i x="223" s="1"/>
        <i x="547" s="1"/>
        <i x="115" s="1"/>
        <i x="122" s="1"/>
        <i x="727" s="1"/>
        <i x="710" s="1"/>
        <i x="877" s="1"/>
        <i x="14" s="1"/>
        <i x="703" s="1"/>
        <i x="191" s="1"/>
        <i x="743" s="1"/>
        <i x="958" s="1"/>
        <i x="973" s="1"/>
        <i x="646" s="1"/>
        <i x="261" s="1"/>
        <i x="780" s="1"/>
        <i x="13" s="1"/>
        <i x="129" s="1"/>
        <i x="624" s="1"/>
        <i x="316" s="1"/>
        <i x="630" s="1"/>
        <i x="661" s="1"/>
        <i x="216" s="1"/>
        <i x="276" s="1"/>
        <i x="665" s="1"/>
        <i x="823" s="1"/>
        <i x="29" s="1"/>
        <i x="476" s="1"/>
        <i x="362" s="1"/>
        <i x="357" s="1"/>
        <i x="455" s="1"/>
        <i x="15" s="1"/>
        <i x="500" s="1"/>
        <i x="380" s="1"/>
        <i x="815" s="1"/>
        <i x="93" s="1"/>
        <i x="382" s="1"/>
        <i x="99" s="1"/>
        <i x="512" s="1"/>
        <i x="483" s="1"/>
        <i x="112" s="1"/>
        <i x="531" s="1"/>
        <i x="924" s="1"/>
        <i x="318" s="1"/>
        <i x="978" s="1"/>
        <i x="487" s="1"/>
        <i x="458" s="1"/>
        <i x="684" s="1"/>
        <i x="309" s="1"/>
        <i x="143" s="1"/>
        <i x="260" s="1"/>
        <i x="419" s="1"/>
        <i x="818" s="1"/>
        <i x="268" s="1"/>
        <i x="897" s="1"/>
        <i x="657" s="1"/>
        <i x="166" s="1"/>
        <i x="542" s="1"/>
        <i x="887" s="1"/>
        <i x="615" s="1"/>
        <i x="541" s="1"/>
        <i x="20" s="1"/>
        <i x="764" s="1"/>
        <i x="895" s="1"/>
        <i x="340" s="1"/>
        <i x="414" s="1"/>
        <i x="417" s="1"/>
        <i x="352" s="1"/>
        <i x="972" s="1"/>
        <i x="116" s="1"/>
        <i x="202" s="1"/>
        <i x="367" s="1"/>
        <i x="871" s="1"/>
        <i x="297" s="1"/>
        <i x="667" s="1"/>
        <i x="760" s="1"/>
        <i x="971" s="1"/>
        <i x="336" s="1"/>
        <i x="660" s="1"/>
        <i x="940" s="1"/>
        <i x="151" s="1"/>
        <i x="43" s="1"/>
        <i x="195" s="1"/>
        <i x="733" s="1"/>
        <i x="56" s="1"/>
        <i x="213" s="1"/>
        <i x="658" s="1"/>
        <i x="906" s="1"/>
        <i x="369" s="1"/>
        <i x="409" s="1"/>
        <i x="643" s="1"/>
        <i x="228" s="1"/>
        <i x="431" s="1"/>
        <i x="712" s="1"/>
        <i x="816" s="1"/>
        <i x="557" s="1"/>
        <i x="813" s="1"/>
        <i x="534" s="1"/>
        <i x="941" s="1"/>
        <i x="413" s="1"/>
        <i x="146" s="1"/>
        <i x="536" s="1"/>
        <i x="163" s="1"/>
        <i x="374" s="1"/>
        <i x="942" s="1"/>
        <i x="273" s="1"/>
        <i x="676" s="1"/>
        <i x="348" s="1"/>
        <i x="215" s="1"/>
        <i x="482" s="1"/>
        <i x="233" s="1"/>
        <i x="106" s="1"/>
        <i x="194" s="1"/>
        <i x="959" s="1"/>
        <i x="606" s="1"/>
        <i x="656" s="1"/>
        <i x="564" s="1"/>
        <i x="427" s="1"/>
        <i x="581" s="1"/>
        <i x="44" s="1"/>
        <i x="729" s="1"/>
        <i x="705" s="1"/>
        <i x="709" s="1"/>
        <i x="984" s="1"/>
        <i x="470" s="1"/>
        <i x="981" s="1"/>
        <i x="570" s="1"/>
        <i x="341" s="1"/>
        <i x="969" s="1"/>
        <i x="888" s="1"/>
        <i x="833" s="1"/>
        <i x="155" s="1"/>
        <i x="977" s="1"/>
        <i x="310" s="1"/>
        <i x="257" s="1"/>
        <i x="776" s="1"/>
        <i x="333" s="1"/>
        <i x="626" s="1"/>
        <i x="690" s="1"/>
        <i x="220" s="1"/>
        <i x="752" s="1"/>
        <i x="277" s="1"/>
        <i x="283" s="1"/>
        <i x="182" s="1"/>
        <i x="801" s="1"/>
        <i x="453" s="1"/>
        <i x="93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DAFDE91-1BB8-41F2-B063-E65746898380}" sourceName="Product">
  <pivotTables>
    <pivotTable tabId="7" name="PivotTable2"/>
  </pivotTables>
  <data>
    <tabular pivotCacheId="509813878">
      <items count="7">
        <i x="5"/>
        <i x="4" s="1"/>
        <i x="0" s="1"/>
        <i x="1" s="1"/>
        <i x="2" s="1"/>
        <i x="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6F5D4508-CC79-4DE8-89A9-6F12223D4B6C}" sourceName="Sales">
  <pivotTables>
    <pivotTable tabId="4" name="PivotTable1"/>
  </pivotTables>
  <data>
    <tabular pivotCacheId="509813878">
      <items count="995">
        <i x="339" s="1"/>
        <i x="847" s="1"/>
        <i x="132" s="1"/>
        <i x="480" s="1"/>
        <i x="556" s="1"/>
        <i x="376" s="1"/>
        <i x="965" s="1"/>
        <i x="899" s="1"/>
        <i x="416" s="1"/>
        <i x="473" s="1"/>
        <i x="754" s="1"/>
        <i x="203" s="1"/>
        <i x="22" s="1"/>
        <i x="497" s="1"/>
        <i x="121" s="1"/>
        <i x="711" s="1"/>
        <i x="456" s="1"/>
        <i x="305" s="1"/>
        <i x="420" s="1"/>
        <i x="388" s="1"/>
        <i x="85" s="1"/>
        <i x="172" s="1"/>
        <i x="24" s="1"/>
        <i x="562" s="1"/>
        <i x="180" s="1"/>
        <i x="125" s="1"/>
        <i x="602" s="1"/>
        <i x="285" s="1"/>
        <i x="524" s="1"/>
        <i x="236" s="1"/>
        <i x="608" s="1"/>
        <i x="459" s="1"/>
        <i x="913" s="1"/>
        <i x="408" s="1"/>
        <i x="559" s="1"/>
        <i x="843" s="1"/>
        <i x="495" s="1"/>
        <i x="988" s="1"/>
        <i x="800" s="1"/>
        <i x="682" s="1"/>
        <i x="613" s="1"/>
        <i x="40" s="1"/>
        <i x="529" s="1"/>
        <i x="832" s="1"/>
        <i x="763" s="1"/>
        <i x="27" s="1"/>
        <i x="10" s="1"/>
        <i x="227" s="1"/>
        <i x="23" s="1"/>
        <i x="440" s="1"/>
        <i x="864" s="1"/>
        <i x="802" s="1"/>
        <i x="644" s="1"/>
        <i x="625" s="1"/>
        <i x="270" s="1"/>
        <i x="539" s="1"/>
        <i x="302" s="1"/>
        <i x="768" s="1"/>
        <i x="464" s="1"/>
        <i x="41" s="1"/>
        <i x="162" s="1"/>
        <i x="750" s="1"/>
        <i x="424" s="1"/>
        <i x="782" s="1"/>
        <i x="147" s="1"/>
        <i x="407" s="1"/>
        <i x="485" s="1"/>
        <i x="982" s="1"/>
        <i x="45" s="1"/>
        <i x="69" s="1"/>
        <i x="793" s="1"/>
        <i x="844" s="1"/>
        <i x="759" s="1"/>
        <i x="520" s="1"/>
        <i x="860" s="1"/>
        <i x="916" s="1"/>
        <i x="848" s="1"/>
        <i x="206" s="1"/>
        <i x="71" s="1"/>
        <i x="611" s="1"/>
        <i x="373" s="1"/>
        <i x="314" s="1"/>
        <i x="936" s="1"/>
        <i x="42" s="1"/>
        <i x="641" s="1"/>
        <i x="204" s="1"/>
        <i x="229" s="1"/>
        <i x="839" s="1"/>
        <i x="882" s="1"/>
        <i x="929" s="1"/>
        <i x="88" s="1"/>
        <i x="315" s="1"/>
        <i x="272" s="1"/>
        <i x="920" s="1"/>
        <i x="392" s="1"/>
        <i x="515" s="1"/>
        <i x="498" s="1"/>
        <i x="867" s="1"/>
        <i x="511" s="1"/>
        <i x="525" s="1"/>
        <i x="280" s="1"/>
        <i x="927" s="1"/>
        <i x="327" s="1"/>
        <i x="109" s="1"/>
        <i x="772" s="1"/>
        <i x="921" s="1"/>
        <i x="599" s="1"/>
        <i x="157" s="1"/>
        <i x="954" s="1"/>
        <i x="775" s="1"/>
        <i x="912" s="1"/>
        <i x="725" s="1"/>
        <i x="609" s="1"/>
        <i x="152" s="1"/>
        <i x="861" s="1"/>
        <i x="987" s="1"/>
        <i x="474" s="1"/>
        <i x="779" s="1"/>
        <i x="979" s="1"/>
        <i x="426" s="1"/>
        <i x="301" s="1"/>
        <i x="963" s="1"/>
        <i x="962" s="1"/>
        <i x="368" s="1"/>
        <i x="73" s="1"/>
        <i x="161" s="1"/>
        <i x="52" s="1"/>
        <i x="612" s="1"/>
        <i x="632" s="1"/>
        <i x="494" s="1"/>
        <i x="205" s="1"/>
        <i x="672" s="1"/>
        <i x="968" s="1"/>
        <i x="197" s="1"/>
        <i x="8" s="1"/>
        <i x="704" s="1"/>
        <i x="269" s="1"/>
        <i x="546" s="1"/>
        <i x="421" s="1"/>
        <i x="335" s="1"/>
        <i x="604" s="1"/>
        <i x="695" s="1"/>
        <i x="689" s="1"/>
        <i x="66" s="1"/>
        <i x="256" s="1"/>
        <i x="492" s="1"/>
        <i x="862" s="1"/>
        <i x="926" s="1"/>
        <i x="158" s="1"/>
        <i x="735" s="1"/>
        <i x="250" s="1"/>
        <i x="789" s="1"/>
        <i x="702" s="1"/>
        <i x="662" s="1"/>
        <i x="777" s="1"/>
        <i x="932" s="1"/>
        <i x="804" s="1"/>
        <i x="953" s="1"/>
        <i x="170" s="1"/>
        <i x="303" s="1"/>
        <i x="571" s="1"/>
        <i x="851" s="1"/>
        <i x="436" s="1"/>
        <i x="365" s="1"/>
        <i x="909" s="1"/>
        <i x="484" s="1"/>
        <i x="325" s="1"/>
        <i x="853" s="1"/>
        <i x="852" s="1"/>
        <i x="994" s="1"/>
        <i x="790" s="1"/>
        <i x="955" s="1"/>
        <i x="430" s="1"/>
        <i x="688" s="1"/>
        <i x="885" s="1"/>
        <i x="360" s="1"/>
        <i x="84" s="1"/>
        <i x="63" s="1"/>
        <i x="176" s="1"/>
        <i x="361" s="1"/>
        <i x="683" s="1"/>
        <i x="691" s="1"/>
        <i x="850" s="1"/>
        <i x="597" s="1"/>
        <i x="919" s="1"/>
        <i x="86" s="1"/>
        <i x="255" s="1"/>
        <i x="100" s="1"/>
        <i x="127" s="1"/>
        <i x="591" s="1"/>
        <i x="880" s="1"/>
        <i x="184" s="1"/>
        <i x="217" s="1"/>
        <i x="915" s="1"/>
        <i x="98" s="1"/>
        <i x="855" s="1"/>
        <i x="756" s="1"/>
        <i x="138" s="1"/>
        <i x="686" s="1"/>
        <i x="629" s="1"/>
        <i x="62" s="1"/>
        <i x="663" s="1"/>
        <i x="765" s="1"/>
        <i x="188" s="1"/>
        <i x="248" s="1"/>
        <i x="469" s="1"/>
        <i x="165" s="1"/>
        <i x="806" s="1"/>
        <i x="383" s="1"/>
        <i x="755" s="1"/>
        <i x="67" s="1"/>
        <i x="503" s="1"/>
        <i x="397" s="1"/>
        <i x="900" s="1"/>
        <i x="311" s="1"/>
        <i x="530" s="1"/>
        <i x="701" s="1"/>
        <i x="12" s="1"/>
        <i x="239" s="1"/>
        <i x="740" s="1"/>
        <i x="291" s="1"/>
        <i x="75" s="1"/>
        <i x="674" s="1"/>
        <i x="579" s="1"/>
        <i x="381" s="1"/>
        <i x="506" s="1"/>
        <i x="246" s="1"/>
        <i x="874" s="1"/>
        <i x="881" s="1"/>
        <i x="713" s="1"/>
        <i x="937" s="1"/>
        <i x="425" s="1"/>
        <i x="907" s="1"/>
        <i x="829" s="1"/>
        <i x="167" s="1"/>
        <i x="185" s="1"/>
        <i x="19" s="1"/>
        <i x="486" s="1"/>
        <i x="552" s="1"/>
        <i x="799" s="1"/>
        <i x="350" s="1"/>
        <i x="603" s="1"/>
        <i x="817" s="1"/>
        <i x="766" s="1"/>
        <i x="652" s="1"/>
        <i x="133" s="1"/>
        <i x="957" s="1"/>
        <i x="617" s="1"/>
        <i x="902" s="1"/>
        <i x="192" s="1"/>
        <i x="543" s="1"/>
        <i x="826" s="1"/>
        <i x="94" s="1"/>
        <i x="545" s="1"/>
        <i x="461" s="1"/>
        <i x="319" s="1"/>
        <i x="181" s="1"/>
        <i x="720" s="1"/>
        <i x="300" s="1"/>
        <i x="118" s="1"/>
        <i x="605" s="1"/>
        <i x="574" s="1"/>
        <i x="739" s="1"/>
        <i x="405" s="1"/>
        <i x="79" s="1"/>
        <i x="349" s="1"/>
        <i x="582" s="1"/>
        <i x="462" s="1"/>
        <i x="134" s="1"/>
        <i x="31" s="1"/>
        <i x="58" s="1"/>
        <i x="967" s="1"/>
        <i x="558" s="1"/>
        <i x="526" s="1"/>
        <i x="390" s="1"/>
        <i x="721" s="1"/>
        <i x="428" s="1"/>
        <i x="785" s="1"/>
        <i x="607" s="1"/>
        <i x="518" s="1"/>
        <i x="226" s="1"/>
        <i x="773" s="1"/>
        <i x="718" s="1"/>
        <i x="1" s="1"/>
        <i x="454" s="1"/>
        <i x="859" s="1"/>
        <i x="737" s="1"/>
        <i x="400" s="1"/>
        <i x="767" s="1"/>
        <i x="54" s="1"/>
        <i x="548" s="1"/>
        <i x="634" s="1"/>
        <i x="77" s="1"/>
        <i x="201" s="1"/>
        <i x="323" s="1"/>
        <i x="784" s="1"/>
        <i x="87" s="1"/>
        <i x="379" s="1"/>
        <i x="16" s="1"/>
        <i x="401" s="1"/>
        <i x="638" s="1"/>
        <i x="738" s="1"/>
        <i x="717" s="1"/>
        <i x="856" s="1"/>
        <i x="640" s="1"/>
        <i x="156" s="1"/>
        <i x="219" s="1"/>
        <i x="890" s="1"/>
        <i x="114" s="1"/>
        <i x="214" s="1"/>
        <i x="278" s="1"/>
        <i x="742" s="1"/>
        <i x="17" s="1"/>
        <i x="55" s="1"/>
        <i x="950" s="1"/>
        <i x="139" s="1"/>
        <i x="698" s="1"/>
        <i x="174" s="1"/>
        <i x="466" s="1"/>
        <i x="976" s="1"/>
        <i x="993" s="1"/>
        <i x="259" s="1"/>
        <i x="286" s="1"/>
        <i x="395" s="1"/>
        <i x="707" s="1"/>
        <i x="812" s="1"/>
        <i x="238" s="1"/>
        <i x="3" s="1"/>
        <i x="196" s="1"/>
        <i x="825" s="1"/>
        <i x="595" s="1"/>
        <i x="282" s="1"/>
        <i x="731" s="1"/>
        <i x="719" s="1"/>
        <i x="905" s="1"/>
        <i x="337" s="1"/>
        <i x="594" s="1"/>
        <i x="566" s="1"/>
        <i x="359" s="1"/>
        <i x="830" s="1"/>
        <i x="753" s="1"/>
        <i x="769" s="1"/>
        <i x="820" s="1"/>
        <i x="989" s="1"/>
        <i x="110" s="1"/>
        <i x="208" s="1"/>
        <i x="211" s="1"/>
        <i x="284" s="1"/>
        <i x="943" s="1"/>
        <i x="274" s="1"/>
        <i x="120" s="1"/>
        <i x="237" s="1"/>
        <i x="814" s="1"/>
        <i x="822" s="1"/>
        <i x="296" s="1"/>
        <i x="673" s="1"/>
        <i x="292" s="1"/>
        <i x="363" s="1"/>
        <i x="293" s="1"/>
        <i x="568" s="1"/>
        <i x="32" s="1"/>
        <i x="396" s="1"/>
        <i x="472" s="1"/>
        <i x="334" s="1"/>
        <i x="136" s="1"/>
        <i x="654" s="1"/>
        <i x="970" s="1"/>
        <i x="788" s="1"/>
        <i x="639" s="1"/>
        <i x="266" s="1"/>
        <i x="809" s="1"/>
        <i x="171" s="1"/>
        <i x="21" s="1"/>
        <i x="387" s="1"/>
        <i x="271" s="1"/>
        <i x="104" s="1"/>
        <i x="747" s="1"/>
        <i x="837" s="1"/>
        <i x="209" s="1"/>
        <i x="117" s="1"/>
        <i x="304" s="1"/>
        <i x="320" s="1"/>
        <i x="200" s="1"/>
        <i x="258" s="1"/>
        <i x="61" s="1"/>
        <i x="173" s="1"/>
        <i x="576" s="1"/>
        <i x="911" s="1"/>
        <i x="391" s="1"/>
        <i x="901" s="1"/>
        <i x="25" s="1"/>
        <i x="240" s="1"/>
        <i x="432" s="1"/>
        <i x="551" s="1"/>
        <i x="123" s="1"/>
        <i x="655" s="1"/>
        <i x="338" s="1"/>
        <i x="716" s="1"/>
        <i x="0" s="1"/>
        <i x="935" s="1"/>
        <i x="366" s="1"/>
        <i x="842" s="1"/>
        <i x="235" s="1"/>
        <i x="878" s="1"/>
        <i x="797" s="1"/>
        <i x="946" s="1"/>
        <i x="491" s="1"/>
        <i x="317" s="1"/>
        <i x="986" s="1"/>
        <i x="697" s="1"/>
        <i x="423" s="1"/>
        <i x="577" s="1"/>
        <i x="961" s="1"/>
        <i x="178" s="1"/>
        <i x="623" s="1"/>
        <i x="80" s="1"/>
        <i x="945" s="1"/>
        <i x="179" s="1"/>
        <i x="288" s="1"/>
        <i x="145" s="1"/>
        <i x="222" s="1"/>
        <i x="102" s="1"/>
        <i x="218" s="1"/>
        <i x="649" s="1"/>
        <i x="894" s="1"/>
        <i x="619" s="1"/>
        <i x="678" s="1"/>
        <i x="835" s="1"/>
        <i x="111" s="1"/>
        <i x="618" s="1"/>
        <i x="836" s="1"/>
        <i x="734" s="1"/>
        <i x="669" s="1"/>
        <i x="828" s="1"/>
        <i x="57" s="1"/>
        <i x="187" s="1"/>
        <i x="449" s="1"/>
        <i x="364" s="1"/>
        <i x="189" s="1"/>
        <i x="186" s="1"/>
        <i x="299" s="1"/>
        <i x="532" s="1"/>
        <i x="569" s="1"/>
        <i x="262" s="1"/>
        <i x="808" s="1"/>
        <i x="893" s="1"/>
        <i x="883" s="1"/>
        <i x="555" s="1"/>
        <i x="692" s="1"/>
        <i x="378" s="1"/>
        <i x="82" s="1"/>
        <i x="97" s="1"/>
        <i x="446" s="1"/>
        <i x="5" s="1"/>
        <i x="831" s="1"/>
        <i x="290" s="1"/>
        <i x="509" s="1"/>
        <i x="726" s="1"/>
        <i x="949" s="1"/>
        <i x="355" s="1"/>
        <i x="95" s="1"/>
        <i x="621" s="1"/>
        <i x="68" s="1"/>
        <i x="306" s="1"/>
        <i x="279" s="1"/>
        <i x="313" s="1"/>
        <i x="389" s="1"/>
        <i x="499" s="1"/>
        <i x="190" s="1"/>
        <i x="70" s="1"/>
        <i x="105" s="1"/>
        <i x="670" s="1"/>
        <i x="175" s="1"/>
        <i x="89" s="1"/>
        <i x="126" s="1"/>
        <i x="762" s="1"/>
        <i x="886" s="1"/>
        <i x="513" s="1"/>
        <i x="38" s="1"/>
        <i x="696" s="1"/>
        <i x="78" s="1"/>
        <i x="328" s="1"/>
        <i x="879" s="1"/>
        <i x="933" s="1"/>
        <i x="275" s="1"/>
        <i x="501" s="1"/>
        <i x="914" s="1"/>
        <i x="675" s="1"/>
        <i x="584" s="1"/>
        <i x="596" s="1"/>
        <i x="838" s="1"/>
        <i x="433" s="1"/>
        <i x="508" s="1"/>
        <i x="917" s="1"/>
        <i x="448" s="1"/>
        <i x="728" s="1"/>
        <i x="650" s="1"/>
        <i x="592" s="1"/>
        <i x="693" s="1"/>
        <i x="119" s="1"/>
        <i x="952" s="1"/>
        <i x="586" s="1"/>
        <i x="841" s="1"/>
        <i x="521" s="1"/>
        <i x="353" s="1"/>
        <i x="140" s="1"/>
        <i x="770" s="1"/>
        <i x="537" s="1"/>
        <i x="910" s="1"/>
        <i x="103" s="1"/>
        <i x="393" s="1"/>
        <i x="628" s="1"/>
        <i x="399" s="1"/>
        <i x="254" s="1"/>
        <i x="567" s="1"/>
        <i x="896" s="1"/>
        <i x="332" s="1"/>
        <i x="135" s="1"/>
        <i x="322" s="1"/>
        <i x="783" s="1"/>
        <i x="347" s="1"/>
        <i x="538" s="1"/>
        <i x="150" s="1"/>
        <i x="636" s="1"/>
        <i x="821" s="1"/>
        <i x="575" s="1"/>
        <i x="722" s="1"/>
        <i x="700" s="1"/>
        <i x="6" s="1"/>
        <i x="221" s="1"/>
        <i x="533" s="1"/>
        <i x="496" s="1"/>
        <i x="931" s="1"/>
        <i x="308" s="1"/>
        <i x="824" s="1"/>
        <i x="666" s="1"/>
        <i x="50" s="1"/>
        <i x="418" s="1"/>
        <i x="923" s="1"/>
        <i x="439" s="1"/>
        <i x="9" s="1"/>
        <i x="791" s="1"/>
        <i x="53" s="1"/>
        <i x="451" s="1"/>
        <i x="680" s="1"/>
        <i x="74" s="1"/>
        <i x="635" s="1"/>
        <i x="81" s="1"/>
        <i x="736" s="1"/>
        <i x="445" s="1"/>
        <i x="65" s="1"/>
        <i x="956" s="1"/>
        <i x="130" s="1"/>
        <i x="875" s="1"/>
        <i x="384" s="1"/>
        <i x="346" s="1"/>
        <i x="771" s="1"/>
        <i x="479" s="1"/>
        <i x="241" s="1"/>
        <i x="465" s="1"/>
        <i x="637" s="1"/>
        <i x="846" s="1"/>
        <i x="225" s="1"/>
        <i x="212" s="1"/>
        <i x="580" s="1"/>
        <i x="49" s="1"/>
        <i x="798" s="1"/>
        <i x="441" s="1"/>
        <i x="351" s="1"/>
        <i x="358" s="1"/>
        <i x="983" s="1"/>
        <i x="892" s="1"/>
        <i x="849" s="1"/>
        <i x="343" s="1"/>
        <i x="723" s="1"/>
        <i x="631" s="1"/>
        <i x="647" s="1"/>
        <i x="699" s="1"/>
        <i x="28" s="1"/>
        <i x="168" s="1"/>
        <i x="991" s="1"/>
        <i x="944" s="1"/>
        <i x="588" s="1"/>
        <i x="863" s="1"/>
        <i x="980" s="1"/>
        <i x="516" s="1"/>
        <i x="429" s="1"/>
        <i x="247" s="1"/>
        <i x="47" s="1"/>
        <i x="795" s="1"/>
        <i x="33" s="1"/>
        <i x="356" s="1"/>
        <i x="869" s="1"/>
        <i x="159" s="1"/>
        <i x="48" s="1"/>
        <i x="124" s="1"/>
        <i x="83" s="1"/>
        <i x="714" s="1"/>
        <i x="410" s="1"/>
        <i x="528" s="1"/>
        <i x="677" s="1"/>
        <i x="490" s="1"/>
        <i x="966" s="1"/>
        <i x="794" s="1"/>
        <i x="792" s="1"/>
        <i x="342" s="1"/>
        <i x="35" s="1"/>
        <i x="918" s="1"/>
        <i x="72" s="1"/>
        <i x="960" s="1"/>
        <i x="593" s="1"/>
        <i x="679" s="1"/>
        <i x="403" s="1"/>
        <i x="96" s="1"/>
        <i x="620" s="1"/>
        <i x="251" s="1"/>
        <i x="560" s="1"/>
        <i x="544" s="1"/>
        <i x="668" s="1"/>
        <i x="76" s="1"/>
        <i x="2" s="1"/>
        <i x="622" s="1"/>
        <i x="354" s="1"/>
        <i x="868" s="1"/>
        <i x="231" s="1"/>
        <i x="252" s="1"/>
        <i x="938" s="1"/>
        <i x="908" s="1"/>
        <i x="467" s="1"/>
        <i x="891" s="1"/>
        <i x="834" s="1"/>
        <i x="744" s="1"/>
        <i x="264" s="1"/>
        <i x="651" s="1"/>
        <i x="554" s="1"/>
        <i x="331" s="1"/>
        <i x="505" s="1"/>
        <i x="633" s="1"/>
        <i x="160" s="1"/>
        <i x="224" s="1"/>
        <i x="681" s="1"/>
        <i x="450" s="1"/>
        <i x="153" s="1"/>
        <i x="294" s="1"/>
        <i x="741" s="1"/>
        <i x="610" s="1"/>
        <i x="457" s="1"/>
        <i x="992" s="1"/>
        <i x="244" s="1"/>
        <i x="553" s="1"/>
        <i x="774" s="1"/>
        <i x="481" s="1"/>
        <i x="687" s="1"/>
        <i x="406" s="1"/>
        <i x="781" s="1"/>
        <i x="101" s="1"/>
        <i x="578" s="1"/>
        <i x="904" s="1"/>
        <i x="870" s="1"/>
        <i x="330" s="1"/>
        <i x="443" s="1"/>
        <i x="990" s="1"/>
        <i x="589" s="1"/>
        <i x="207" s="1"/>
        <i x="199" s="1"/>
        <i x="857" s="1"/>
        <i x="245" s="1"/>
        <i x="951" s="1"/>
        <i x="671" s="1"/>
        <i x="438" s="1"/>
        <i x="312" s="1"/>
        <i x="415" s="1"/>
        <i x="460" s="1"/>
        <i x="746" s="1"/>
        <i x="616" s="1"/>
        <i x="329" s="1"/>
        <i x="827" s="1"/>
        <i x="706" s="1"/>
        <i x="243" s="1"/>
        <i x="477" s="1"/>
        <i x="522" s="1"/>
        <i x="471" s="1"/>
        <i x="854" s="1"/>
        <i x="757" s="1"/>
        <i x="411" s="1"/>
        <i x="805" s="1"/>
        <i x="796" s="1"/>
        <i x="715" s="1"/>
        <i x="324" s="1"/>
        <i x="540" s="1"/>
        <i x="385" s="1"/>
        <i x="642" s="1"/>
        <i x="34" s="1"/>
        <i x="345" s="1"/>
        <i x="507" s="1"/>
        <i x="948" s="1"/>
        <i x="685" s="1"/>
        <i x="858" s="1"/>
        <i x="550" s="1"/>
        <i x="386" s="1"/>
        <i x="287" s="1"/>
        <i x="64" s="1"/>
        <i x="514" s="1"/>
        <i x="563" s="1"/>
        <i x="840" s="1"/>
        <i x="502" s="1"/>
        <i x="90" s="1"/>
        <i x="786" s="1"/>
        <i x="298" s="1"/>
        <i x="91" s="1"/>
        <i x="402" s="1"/>
        <i x="26" s="1"/>
        <i x="230" s="1"/>
        <i x="169" s="1"/>
        <i x="922" s="1"/>
        <i x="872" s="1"/>
        <i x="232" s="1"/>
        <i x="265" s="1"/>
        <i x="234" s="1"/>
        <i x="193" s="1"/>
        <i x="263" s="1"/>
        <i x="724" s="1"/>
        <i x="964" s="1"/>
        <i x="504" s="1"/>
        <i x="930" s="1"/>
        <i x="344" s="1"/>
        <i x="372" s="1"/>
        <i x="535" s="1"/>
        <i x="876" s="1"/>
        <i x="437" s="1"/>
        <i x="751" s="1"/>
        <i x="653" s="1"/>
        <i x="928" s="1"/>
        <i x="128" s="1"/>
        <i x="148" s="1"/>
        <i x="289" s="1"/>
        <i x="488" s="1"/>
        <i x="326" s="1"/>
        <i x="761" s="1"/>
        <i x="475" s="1"/>
        <i x="59" s="1"/>
        <i x="4" s="1"/>
        <i x="898" s="1"/>
        <i x="210" s="1"/>
        <i x="447" s="1"/>
        <i x="819" s="1"/>
        <i x="11" s="1"/>
        <i x="561" s="1"/>
        <i x="645" s="1"/>
        <i x="30" s="1"/>
        <i x="39" s="1"/>
        <i x="177" s="1"/>
        <i x="321" s="1"/>
        <i x="442" s="1"/>
        <i x="371" s="1"/>
        <i x="51" s="1"/>
        <i x="866" s="1"/>
        <i x="493" s="1"/>
        <i x="164" s="1"/>
        <i x="281" s="1"/>
        <i x="468" s="1"/>
        <i x="947" s="1"/>
        <i x="787" s="1"/>
        <i x="452" s="1"/>
        <i x="583" s="1"/>
        <i x="198" s="1"/>
        <i x="422" s="1"/>
        <i x="370" s="1"/>
        <i x="627" s="1"/>
        <i x="144" s="1"/>
        <i x="873" s="1"/>
        <i x="889" s="1"/>
        <i x="394" s="1"/>
        <i x="141" s="1"/>
        <i x="434" s="1"/>
        <i x="730" s="1"/>
        <i x="149" s="1"/>
        <i x="60" s="1"/>
        <i x="572" s="1"/>
        <i x="884" s="1"/>
        <i x="154" s="1"/>
        <i x="845" s="1"/>
        <i x="748" s="1"/>
        <i x="253" s="1"/>
        <i x="803" s="1"/>
        <i x="375" s="1"/>
        <i x="36" s="1"/>
        <i x="749" s="1"/>
        <i x="527" s="1"/>
        <i x="549" s="1"/>
        <i x="523" s="1"/>
        <i x="614" s="1"/>
        <i x="601" s="1"/>
        <i x="659" s="1"/>
        <i x="925" s="1"/>
        <i x="478" s="1"/>
        <i x="590" s="1"/>
        <i x="113" s="1"/>
        <i x="903" s="1"/>
        <i x="137" s="1"/>
        <i x="46" s="1"/>
        <i x="463" s="1"/>
        <i x="242" s="1"/>
        <i x="37" s="1"/>
        <i x="92" s="1"/>
        <i x="295" s="1"/>
        <i x="745" s="1"/>
        <i x="974" s="1"/>
        <i x="398" s="1"/>
        <i x="573" s="1"/>
        <i x="708" s="1"/>
        <i x="598" s="1"/>
        <i x="107" s="1"/>
        <i x="565" s="1"/>
        <i x="412" s="1"/>
        <i x="585" s="1"/>
        <i x="444" s="1"/>
        <i x="18" s="1"/>
        <i x="108" s="1"/>
        <i x="664" s="1"/>
        <i x="587" s="1"/>
        <i x="377" s="1"/>
        <i x="510" s="1"/>
        <i x="131" s="1"/>
        <i x="142" s="1"/>
        <i x="694" s="1"/>
        <i x="934" s="1"/>
        <i x="648" s="1"/>
        <i x="758" s="1"/>
        <i x="985" s="1"/>
        <i x="778" s="1"/>
        <i x="183" s="1"/>
        <i x="489" s="1"/>
        <i x="404" s="1"/>
        <i x="307" s="1"/>
        <i x="267" s="1"/>
        <i x="519" s="1"/>
        <i x="435" s="1"/>
        <i x="732" s="1"/>
        <i x="807" s="1"/>
        <i x="600" s="1"/>
        <i x="7" s="1"/>
        <i x="811" s="1"/>
        <i x="975" s="1"/>
        <i x="810" s="1"/>
        <i x="865" s="1"/>
        <i x="517" s="1"/>
        <i x="249" s="1"/>
        <i x="223" s="1"/>
        <i x="547" s="1"/>
        <i x="115" s="1"/>
        <i x="122" s="1"/>
        <i x="727" s="1"/>
        <i x="710" s="1"/>
        <i x="877" s="1"/>
        <i x="14" s="1"/>
        <i x="703" s="1"/>
        <i x="191" s="1"/>
        <i x="743" s="1"/>
        <i x="958" s="1"/>
        <i x="973" s="1"/>
        <i x="646" s="1"/>
        <i x="261" s="1"/>
        <i x="780" s="1"/>
        <i x="13" s="1"/>
        <i x="129" s="1"/>
        <i x="624" s="1"/>
        <i x="316" s="1"/>
        <i x="630" s="1"/>
        <i x="661" s="1"/>
        <i x="216" s="1"/>
        <i x="276" s="1"/>
        <i x="665" s="1"/>
        <i x="823" s="1"/>
        <i x="29" s="1"/>
        <i x="476" s="1"/>
        <i x="362" s="1"/>
        <i x="357" s="1"/>
        <i x="455" s="1"/>
        <i x="15" s="1"/>
        <i x="500" s="1"/>
        <i x="380" s="1"/>
        <i x="815" s="1"/>
        <i x="93" s="1"/>
        <i x="382" s="1"/>
        <i x="99" s="1"/>
        <i x="512" s="1"/>
        <i x="483" s="1"/>
        <i x="112" s="1"/>
        <i x="531" s="1"/>
        <i x="924" s="1"/>
        <i x="318" s="1"/>
        <i x="978" s="1"/>
        <i x="487" s="1"/>
        <i x="458" s="1"/>
        <i x="684" s="1"/>
        <i x="309" s="1"/>
        <i x="143" s="1"/>
        <i x="260" s="1"/>
        <i x="419" s="1"/>
        <i x="818" s="1"/>
        <i x="268" s="1"/>
        <i x="897" s="1"/>
        <i x="657" s="1"/>
        <i x="166" s="1"/>
        <i x="542" s="1"/>
        <i x="887" s="1"/>
        <i x="615" s="1"/>
        <i x="541" s="1"/>
        <i x="20" s="1"/>
        <i x="764" s="1"/>
        <i x="895" s="1"/>
        <i x="340" s="1"/>
        <i x="414" s="1"/>
        <i x="417" s="1"/>
        <i x="352" s="1"/>
        <i x="972" s="1"/>
        <i x="116" s="1"/>
        <i x="202" s="1"/>
        <i x="367" s="1"/>
        <i x="871" s="1"/>
        <i x="297" s="1"/>
        <i x="667" s="1"/>
        <i x="760" s="1"/>
        <i x="971" s="1"/>
        <i x="336" s="1"/>
        <i x="660" s="1"/>
        <i x="940" s="1"/>
        <i x="151" s="1"/>
        <i x="43" s="1"/>
        <i x="195" s="1"/>
        <i x="733" s="1"/>
        <i x="56" s="1"/>
        <i x="213" s="1"/>
        <i x="658" s="1"/>
        <i x="906" s="1"/>
        <i x="369" s="1"/>
        <i x="409" s="1"/>
        <i x="643" s="1"/>
        <i x="228" s="1"/>
        <i x="431" s="1"/>
        <i x="712" s="1"/>
        <i x="816" s="1"/>
        <i x="557" s="1"/>
        <i x="813" s="1"/>
        <i x="534" s="1"/>
        <i x="941" s="1"/>
        <i x="413" s="1"/>
        <i x="146" s="1"/>
        <i x="536" s="1"/>
        <i x="163" s="1"/>
        <i x="374" s="1"/>
        <i x="942" s="1"/>
        <i x="273" s="1"/>
        <i x="676" s="1"/>
        <i x="348" s="1"/>
        <i x="215" s="1"/>
        <i x="482" s="1"/>
        <i x="233" s="1"/>
        <i x="106" s="1"/>
        <i x="194" s="1"/>
        <i x="959" s="1"/>
        <i x="606" s="1"/>
        <i x="656" s="1"/>
        <i x="564" s="1"/>
        <i x="427" s="1"/>
        <i x="581" s="1"/>
        <i x="44" s="1"/>
        <i x="729" s="1"/>
        <i x="705" s="1"/>
        <i x="709" s="1"/>
        <i x="984" s="1"/>
        <i x="470" s="1"/>
        <i x="981" s="1"/>
        <i x="570" s="1"/>
        <i x="341" s="1"/>
        <i x="969" s="1"/>
        <i x="888" s="1"/>
        <i x="833" s="1"/>
        <i x="155" s="1"/>
        <i x="977" s="1"/>
        <i x="310" s="1"/>
        <i x="257" s="1"/>
        <i x="776" s="1"/>
        <i x="333" s="1"/>
        <i x="626" s="1"/>
        <i x="690" s="1"/>
        <i x="220" s="1"/>
        <i x="752" s="1"/>
        <i x="277" s="1"/>
        <i x="283" s="1"/>
        <i x="182" s="1"/>
        <i x="801" s="1"/>
        <i x="453" s="1"/>
        <i x="93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A0234A9-7E41-4BBE-A386-389C95DAE9F1}" sourceName="Months (Order_Date)">
  <pivotTables>
    <pivotTable tabId="4" name="PivotTable1"/>
  </pivotTables>
  <data>
    <tabular pivotCacheId="509813878">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B9C68E-9670-4E90-8BDE-13E0D5367A15}" sourceName="Region">
  <pivotTables>
    <pivotTable tabId="3" name="PivotTable2"/>
  </pivotTables>
  <data>
    <tabular pivotCacheId="509813878">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987B7BF6-228E-469A-B2B3-D9E99F5C1522}" sourceName="Profit">
  <pivotTables>
    <pivotTable tabId="3" name="PivotTable2"/>
  </pivotTables>
  <data>
    <tabular pivotCacheId="509813878">
      <items count="1000">
        <i x="202" s="1"/>
        <i x="414" s="1"/>
        <i x="182" s="1"/>
        <i x="963" s="1"/>
        <i x="899" s="1"/>
        <i x="659" s="1"/>
        <i x="220" s="1"/>
        <i x="979" s="1"/>
        <i x="745" s="1"/>
        <i x="273" s="1"/>
        <i x="634" s="1"/>
        <i x="491" s="1"/>
        <i x="876" s="1"/>
        <i x="734" s="1"/>
        <i x="381" s="1"/>
        <i x="788" s="1"/>
        <i x="331" s="1"/>
        <i x="252" s="1"/>
        <i x="623" s="1"/>
        <i x="243" s="1"/>
        <i x="506" s="1"/>
        <i x="332" s="1"/>
        <i x="434" s="1"/>
        <i x="177" s="1"/>
        <i x="622" s="1"/>
        <i x="869" s="1"/>
        <i x="267" s="1"/>
        <i x="13" s="1"/>
        <i x="688" s="1"/>
        <i x="677" s="1"/>
        <i x="846" s="1"/>
        <i x="896" s="1"/>
        <i x="845" s="1"/>
        <i x="943" s="1"/>
        <i x="48" s="1"/>
        <i x="900" s="1"/>
        <i x="258" s="1"/>
        <i x="564" s="1"/>
        <i x="400" s="1"/>
        <i x="858" s="1"/>
        <i x="349" s="1"/>
        <i x="748" s="1"/>
        <i x="797" s="1"/>
        <i x="545" s="1"/>
        <i x="261" s="1"/>
        <i x="467" s="1"/>
        <i x="881" s="1"/>
        <i x="404" s="1"/>
        <i x="731" s="1"/>
        <i x="595" s="1"/>
        <i x="724" s="1"/>
        <i x="7" s="1"/>
        <i x="396" s="1"/>
        <i x="986" s="1"/>
        <i x="139" s="1"/>
        <i x="235" s="1"/>
        <i x="573" s="1"/>
        <i x="469" s="1"/>
        <i x="304" s="1"/>
        <i x="510" s="1"/>
        <i x="238" s="1"/>
        <i x="311" s="1"/>
        <i x="225" s="1"/>
        <i x="388" s="1"/>
        <i x="678" s="1"/>
        <i x="251" s="1"/>
        <i x="473" s="1"/>
        <i x="988" s="1"/>
        <i x="198" s="1"/>
        <i x="208" s="1"/>
        <i x="989" s="1"/>
        <i x="735" s="1"/>
        <i x="566" s="1"/>
        <i x="170" s="1"/>
        <i x="597" s="1"/>
        <i x="747" s="1"/>
        <i x="618" s="1"/>
        <i x="103" s="1"/>
        <i x="691" s="1"/>
        <i x="517" s="1"/>
        <i x="874" s="1"/>
        <i x="176" s="1"/>
        <i x="470" s="1"/>
        <i x="131" s="1"/>
        <i x="497" s="1"/>
        <i x="303" s="1"/>
        <i x="619" s="1"/>
        <i x="771" s="1"/>
        <i x="178" s="1"/>
        <i x="897" s="1"/>
        <i x="462" s="1"/>
        <i x="637" s="1"/>
        <i x="350" s="1"/>
        <i x="769" s="1"/>
        <i x="104" s="1"/>
        <i x="52" s="1"/>
        <i x="455" s="1"/>
        <i x="998" s="1"/>
        <i x="80" s="1"/>
        <i x="585" s="1"/>
        <i x="526" s="1"/>
        <i x="741" s="1"/>
        <i x="218" s="1"/>
        <i x="755" s="1"/>
        <i x="168" s="1"/>
        <i x="939" s="1"/>
        <i x="635" s="1"/>
        <i x="375" s="1"/>
        <i x="872" s="1"/>
        <i x="511" s="1"/>
        <i x="63" s="1"/>
        <i x="673" s="1"/>
        <i x="398" s="1"/>
        <i x="966" s="1"/>
        <i x="485" s="1"/>
        <i x="367" s="1"/>
        <i x="774" s="1"/>
        <i x="791" s="1"/>
        <i x="431" s="1"/>
        <i x="962" s="1"/>
        <i x="366" s="1"/>
        <i x="3" s="1"/>
        <i x="947" s="1"/>
        <i x="598" s="1"/>
        <i x="556" s="1"/>
        <i x="62" s="1"/>
        <i x="200" s="1"/>
        <i x="601" s="1"/>
        <i x="925" s="1"/>
        <i x="206" s="1"/>
        <i x="722" s="1"/>
        <i x="794" s="1"/>
        <i x="190" s="1"/>
        <i x="333" s="1"/>
        <i x="161" s="1"/>
        <i x="606" s="1"/>
        <i x="913" s="1"/>
        <i x="684" s="1"/>
        <i x="187" s="1"/>
        <i x="53" s="1"/>
        <i x="807" s="1"/>
        <i x="157" s="1"/>
        <i x="718" s="1"/>
        <i x="915" s="1"/>
        <i x="27" s="1"/>
        <i x="259" s="1"/>
        <i x="926" s="1"/>
        <i x="605" s="1"/>
        <i x="149" s="1"/>
        <i x="610" s="1"/>
        <i x="995" s="1"/>
        <i x="8" s="1"/>
        <i x="847" s="1"/>
        <i x="548" s="1"/>
        <i x="86" s="1"/>
        <i x="147" s="1"/>
        <i x="125" s="1"/>
        <i x="652" s="1"/>
        <i x="236" s="1"/>
        <i x="132" s="1"/>
        <i x="695" s="1"/>
        <i x="613" s="1"/>
        <i x="727" s="1"/>
        <i x="427" s="1"/>
        <i x="885" s="1"/>
        <i x="851" s="1"/>
        <i x="713" s="1"/>
        <i x="437" s="1"/>
        <i x="725" s="1"/>
        <i x="889" s="1"/>
        <i x="614" s="1"/>
        <i x="347" s="1"/>
        <i x="559" s="1"/>
        <i x="514" s="1"/>
        <i x="448" s="1"/>
        <i x="765" s="1"/>
        <i x="761" s="1"/>
        <i x="429" s="1"/>
        <i x="803" s="1"/>
        <i x="859" s="1"/>
        <i x="954" s="1"/>
        <i x="499" s="1"/>
        <i x="917" s="1"/>
        <i x="831" s="1"/>
        <i x="377" s="1"/>
        <i x="868" s="1"/>
        <i x="645" s="1"/>
        <i x="45" s="1"/>
        <i x="305" s="1"/>
        <i x="68" s="1"/>
        <i x="802" s="1"/>
        <i x="315" s="1"/>
        <i x="600" s="1"/>
        <i x="418" s="1"/>
        <i x="486" s="1"/>
        <i x="503" s="1"/>
        <i x="17" s="1"/>
        <i x="389" s="1"/>
        <i x="175" s="1"/>
        <i x="655" s="1"/>
        <i x="40" s="1"/>
        <i x="189" s="1"/>
        <i x="229" s="1"/>
        <i x="436" s="1"/>
        <i x="88" s="1"/>
        <i x="83" s="1"/>
        <i x="444" s="1"/>
        <i x="574" s="1"/>
        <i x="928" s="1"/>
        <i x="181" s="1"/>
        <i x="92" s="1"/>
        <i x="162" s="1"/>
        <i x="339" s="1"/>
        <i x="520" s="1"/>
        <i x="245" s="1"/>
        <i x="980" s="1"/>
        <i x="993" s="1"/>
        <i x="334" s="1"/>
        <i x="71" s="1"/>
        <i x="866" s="1"/>
        <i x="298" s="1"/>
        <i x="557" s="1"/>
        <i x="16" s="1"/>
        <i x="22" s="1"/>
        <i x="903" s="1"/>
        <i x="744" s="1"/>
        <i x="937" s="1"/>
        <i x="703" s="1"/>
        <i x="460" s="1"/>
        <i x="835" s="1"/>
        <i x="173" s="1"/>
        <i x="603" s="1"/>
        <i x="408" s="1"/>
        <i x="481" s="1"/>
        <i x="792" s="1"/>
        <i x="230" s="1"/>
        <i x="172" s="1"/>
        <i x="929" s="1"/>
        <i x="342" s="1"/>
        <i x="568" s="1"/>
        <i x="97" s="1"/>
        <i x="466" s="1"/>
        <i x="457" s="1"/>
        <i x="512" s="1"/>
        <i x="853" s="1"/>
        <i x="591" s="1"/>
        <i x="285" s="1"/>
        <i x="425" s="1"/>
        <i x="934" s="1"/>
        <i x="641" s="1"/>
        <i x="796" s="1"/>
        <i x="121" s="1"/>
        <i x="873" s="1"/>
        <i x="999" s="1"/>
        <i x="770" s="1"/>
        <i x="494" s="1"/>
        <i x="683" s="1"/>
        <i x="594" s="1"/>
        <i x="890" s="1"/>
        <i x="417" s="1"/>
        <i x="820" s="1"/>
        <i x="301" s="1"/>
        <i x="77" s="1"/>
        <i x="756" s="1"/>
        <i x="24" s="1"/>
        <i x="10" s="1"/>
        <i x="141" s="1"/>
        <i x="509" s="1"/>
        <i x="920" s="1"/>
        <i x="624" s="1"/>
        <i x="679" s="1"/>
        <i x="498" s="1"/>
        <i x="693" s="1"/>
        <i x="921" s="1"/>
        <i x="758" s="1"/>
        <i x="612" s="1"/>
        <i x="554" s="1"/>
        <i x="752" s="1"/>
        <i x="987" s="1"/>
        <i x="884" s="1"/>
        <i x="474" s="1"/>
        <i x="237" s="1"/>
        <i x="403" s="1"/>
        <i x="102" s="1"/>
        <i x="894" s="1"/>
        <i x="633" s="1"/>
        <i x="280" s="1"/>
        <i x="227" s="1"/>
        <i x="180" s="1"/>
        <i x="49" s="1"/>
        <i x="336" s="1"/>
        <i x="325" s="1"/>
        <i x="23" s="1"/>
        <i x="941" s="1"/>
        <i x="577" s="1"/>
        <i x="742" s="1"/>
        <i x="626" s="1"/>
        <i x="426" s="1"/>
        <i x="629" s="1"/>
        <i x="465" s="1"/>
        <i x="421" s="1"/>
        <i x="69" s="1"/>
        <i x="906" s="1"/>
        <i x="308" s="1"/>
        <i x="938" s="1"/>
        <i x="970" s="1"/>
        <i x="239" s="1"/>
        <i x="996" s="1"/>
        <i x="391" s="1"/>
        <i x="923" s="1"/>
        <i x="805" s="1"/>
        <i x="560" s="1"/>
        <i x="409" s="1"/>
        <i x="642" s="1"/>
        <i x="563" s="1"/>
        <i x="960" s="1"/>
        <i x="441" s="1"/>
        <i x="764" s="1"/>
        <i x="886" s="1"/>
        <i x="12" s="1"/>
        <i x="992" s="1"/>
        <i x="540" s="1"/>
        <i x="905" s="1"/>
        <i x="525" s="1"/>
        <i x="203" s="1"/>
        <i x="85" s="1"/>
        <i x="720" s="1"/>
        <i x="205" s="1"/>
        <i x="787" s="1"/>
        <i x="384" s="1"/>
        <i x="715" s="1"/>
        <i x="549" s="1"/>
        <i x="609" s="1"/>
        <i x="495" s="1"/>
        <i x="706" s="1"/>
        <i x="864" s="1"/>
        <i x="146" s="1"/>
        <i x="5" s="1"/>
        <i x="729" s="1"/>
        <i x="134" s="1"/>
        <i x="66" s="1"/>
        <i x="848" s="1"/>
        <i x="972" s="1"/>
        <i x="326" s="1"/>
        <i x="154" s="1"/>
        <i x="493" s="1"/>
        <i x="815" s="1"/>
        <i x="855" s="1"/>
        <i x="504" s="1"/>
        <i x="982" s="1"/>
        <i x="698" s="1"/>
        <i x="880" s="1"/>
        <i x="811" s="1"/>
        <i x="302" s="1"/>
        <i x="204" s="1"/>
        <i x="891" s="1"/>
        <i x="737" s="1"/>
        <i x="188" s="1"/>
        <i x="793" s="1"/>
        <i x="158" s="1"/>
        <i x="320" s="1"/>
        <i x="723" s="1"/>
        <i x="521" s="1"/>
        <i x="852" s="1"/>
        <i x="360" s="1"/>
        <i x="61" s="1"/>
        <i x="240" s="1"/>
        <i x="42" s="1"/>
        <i x="390" s="1"/>
        <i x="35" s="1"/>
        <i x="306" s="1"/>
        <i x="690" s="1"/>
        <i x="931" s="1"/>
        <i x="863" s="1"/>
        <i x="351" s="1"/>
        <i x="82" s="1"/>
        <i x="422" s="1"/>
        <i x="541" s="1"/>
        <i x="496" s="1"/>
        <i x="75" s="1"/>
        <i x="935" s="1"/>
        <i x="314" s="1"/>
        <i x="916" s="1"/>
        <i x="530" s="1"/>
        <i x="502" s="1"/>
        <i x="138" s="1"/>
        <i x="547" s="1"/>
        <i x="270" s="1"/>
        <i x="262" s="1"/>
        <i x="932" s="1"/>
        <i x="268" s="1"/>
        <i x="492" s="1"/>
        <i x="58" s="1"/>
        <i x="248" s="1"/>
        <i x="951" s="1"/>
        <i x="783" s="1"/>
        <i x="165" s="1"/>
        <i x="784" s="1"/>
        <i x="41" s="1"/>
        <i x="78" s="1"/>
        <i x="345" s="1"/>
        <i x="385" s="1"/>
        <i x="911" s="1"/>
        <i x="857" s="1"/>
        <i x="879" s="1"/>
        <i x="328" s="1"/>
        <i x="704" s="1"/>
        <i x="120" s="1"/>
        <i x="401" s="1"/>
        <i x="760" s="1"/>
        <i x="781" s="1"/>
        <i x="443" s="1"/>
        <i x="647" s="1"/>
        <i x="922" s="1"/>
        <i x="924" s="1"/>
        <i x="167" s="1"/>
        <i x="369" s="1"/>
        <i x="272" s="1"/>
        <i x="94" s="1"/>
        <i x="888" s="1"/>
        <i x="527" s="1"/>
        <i x="118" s="1"/>
        <i x="967" s="1"/>
        <i x="109" s="1"/>
        <i x="393" s="1"/>
        <i x="217" s="1"/>
        <i x="786" s="1"/>
        <i x="543" s="1"/>
        <i x="843" s="1"/>
        <i x="663" s="1"/>
        <i x="435" s="1"/>
        <i x="959" s="1"/>
        <i x="374" s="1"/>
        <i x="260" s="1"/>
        <i x="432" s="1"/>
        <i x="255" s="1"/>
        <i x="19" s="1"/>
        <i x="599" s="1"/>
        <i x="214" s="1"/>
        <i x="352" s="1"/>
        <i x="382" s="1"/>
        <i x="871" s="1"/>
        <i x="159" s="1"/>
        <i x="621" s="1"/>
        <i x="184" s="1"/>
        <i x="697" s="1"/>
        <i x="1" s="1"/>
        <i x="57" s="1"/>
        <i x="630" s="1"/>
        <i x="335" s="1"/>
        <i x="856" s="1"/>
        <i x="572" s="1"/>
        <i x="664" s="1"/>
        <i x="861" s="1"/>
        <i x="565" s="1"/>
        <i x="379" s="1"/>
        <i x="965" s="1"/>
        <i x="223" s="1"/>
        <i x="300" s="1"/>
        <i x="685" s="1"/>
        <i x="671" s="1"/>
        <i x="743" s="1"/>
        <i x="632" s="1"/>
        <i x="779" s="1"/>
        <i x="887" s="1"/>
        <i x="288" s="1"/>
        <i x="950" s="1"/>
        <i x="777" s="1"/>
        <i x="380" s="1"/>
        <i x="31" s="1"/>
        <i x="319" s="1"/>
        <i x="84" s="1"/>
        <i x="219" s="1"/>
        <i x="361" s="1"/>
        <i x="269" s="1"/>
        <i x="487" s="1"/>
        <i x="933" s="1"/>
        <i x="968" s="1"/>
        <i x="757" s="1"/>
        <i x="416" s="1"/>
        <i x="636" s="1"/>
        <i x="687" s="1"/>
        <i x="977" s="1"/>
        <i x="37" s="1"/>
        <i x="580" s="1"/>
        <i x="171" s="1"/>
        <i x="222" s="1"/>
        <i x="516" s="1"/>
        <i x="327" s="1"/>
        <i x="44" s="1"/>
        <i x="700" s="1"/>
        <i x="137" s="1"/>
        <i x="21" s="1"/>
        <i x="475" s="1"/>
        <i x="224" s="1"/>
        <i x="402" s="1"/>
        <i x="430" s="1"/>
        <i x="531" s="1"/>
        <i x="70" s="1"/>
        <i x="832" s="1"/>
        <i x="152" s="1"/>
        <i x="544" s="1"/>
        <i x="694" s="1"/>
        <i x="782" s="1"/>
        <i x="73" s="1"/>
        <i x="98" s="1"/>
        <i x="653" s="1"/>
        <i x="110" s="1"/>
        <i x="824" s="1"/>
        <i x="143" s="1"/>
        <i x="575" s="1"/>
        <i x="67" s="1"/>
        <i x="909" s="1"/>
        <i x="194" s="1"/>
        <i x="865" s="1"/>
        <i x="716" s="1"/>
        <i x="790" s="1"/>
        <i x="726" s="1"/>
        <i x="256" s="1"/>
        <i x="767" s="1"/>
        <i x="773" s="1"/>
        <i x="362" s="1"/>
        <i x="135" s="1"/>
        <i x="127" s="1"/>
        <i x="596" s="1"/>
        <i x="348" s="1"/>
        <i x="838" s="1"/>
        <i x="174" s="1"/>
        <i x="60" s="1"/>
        <i x="392" s="1"/>
        <i x="628" s="1"/>
        <i x="583" s="1"/>
        <i x="156" s="1"/>
        <i x="973" s="1"/>
        <i x="192" s="1"/>
        <i x="651" s="1"/>
        <i x="26" s="1"/>
        <i x="0" s="1"/>
        <i x="854" s="1"/>
        <i x="569" s="1"/>
        <i x="478" s="1"/>
        <i x="942" s="1"/>
        <i x="151" s="1"/>
        <i x="607" s="1"/>
        <i x="378" s="1"/>
        <i x="284" s="1"/>
        <i x="656" s="1"/>
        <i x="519" s="1"/>
        <i x="898" s="1"/>
        <i x="38" s="1"/>
        <i x="207" s="1"/>
        <i x="817" s="1"/>
        <i x="4" s="1"/>
        <i x="451" s="1"/>
        <i x="313" s="1"/>
        <i x="981" s="1"/>
        <i x="553" s="1"/>
        <i x="221" s="1"/>
        <i x="839" s="1"/>
        <i x="728" s="1"/>
        <i x="185" s="1"/>
        <i x="271" s="1"/>
        <i x="338" s="1"/>
        <i x="842" s="1"/>
        <i x="446" s="1"/>
        <i x="644" s="1"/>
        <i x="958" s="1"/>
        <i x="608" s="1"/>
        <i x="323" s="1"/>
        <i x="90" s="1"/>
        <i x="452" s="1"/>
        <i x="834" s="1"/>
        <i x="354" s="1"/>
        <i x="721" s="1"/>
        <i x="840" s="1"/>
        <i x="991" s="1"/>
        <i x="250" s="1"/>
        <i x="904" s="1"/>
        <i x="699" s="1"/>
        <i x="458" s="1"/>
        <i x="870" s="1"/>
        <i x="299" s="1"/>
        <i x="89" s="1"/>
        <i x="534" s="1"/>
        <i x="809" s="1"/>
        <i x="386" s="1"/>
        <i x="524" s="1"/>
        <i x="197" s="1"/>
        <i x="984" s="1"/>
        <i x="561" s="1"/>
        <i x="20" s="1"/>
        <i x="546" s="1"/>
        <i x="994" s="1"/>
        <i x="357" s="1"/>
        <i x="940" s="1"/>
        <i x="836" s="1"/>
        <i x="483" s="1"/>
        <i x="55" s="1"/>
        <i x="592" s="1"/>
        <i x="406" s="1"/>
        <i x="79" s="1"/>
        <i x="800" s="1"/>
        <i x="768" s="1"/>
        <i x="211" s="1"/>
        <i x="901" s="1"/>
        <i x="346" s="1"/>
        <i x="508" s="1"/>
        <i x="226" s="1"/>
        <i x="640" s="1"/>
        <i x="927" s="1"/>
        <i x="160" s="1"/>
        <i x="254" s="1"/>
        <i x="638" s="1"/>
        <i x="878" s="1"/>
        <i x="199" s="1"/>
        <i x="196" s="1"/>
        <i x="523" s="1"/>
        <i x="337" s="1"/>
        <i x="955" s="1"/>
        <i x="862" s="1"/>
        <i x="978" s="1"/>
        <i x="581" s="1"/>
        <i x="810" s="1"/>
        <i x="353" s="1"/>
        <i x="322" s="1"/>
        <i x="701" s="1"/>
        <i x="293" s="1"/>
        <i x="975" s="1"/>
        <i x="454" s="1"/>
        <i x="28" s="1"/>
        <i x="364" s="1"/>
        <i x="844" s="1"/>
        <i x="96" s="1"/>
        <i x="411" s="1"/>
        <i x="29" s="1"/>
        <i x="670" s="1"/>
        <i x="749" s="1"/>
        <i x="296" s="1"/>
        <i x="823" s="1"/>
        <i x="643" s="1"/>
        <i x="266" s="1"/>
        <i x="423" s="1"/>
        <i x="412" s="1"/>
        <i x="522" s="1"/>
        <i x="604" s="1"/>
        <i x="440" s="1"/>
        <i x="100" s="1"/>
        <i x="964" s="1"/>
        <i x="291" s="1"/>
        <i x="264" s="1"/>
        <i x="829" s="1"/>
        <i x="579" s="1"/>
        <i x="119" s="1"/>
        <i x="246" s="1"/>
        <i x="936" s="1"/>
        <i x="15" s="1"/>
        <i x="812" s="1"/>
        <i x="9" s="1"/>
        <i x="682" s="1"/>
        <i x="155" s="1"/>
        <i x="130" s="1"/>
        <i x="680" s="1"/>
        <i x="316" s="1"/>
        <i x="649" s="1"/>
        <i x="30" s="1"/>
        <i x="825" s="1"/>
        <i x="631" s="1"/>
        <i x="399" s="1"/>
        <i x="318" s="1"/>
        <i x="914" s="1"/>
        <i x="681" s="1"/>
        <i x="324" s="1"/>
        <i x="739" s="1"/>
        <i x="740" s="1"/>
        <i x="584" s="1"/>
        <i x="419" s="1"/>
        <i x="710" s="1"/>
        <i x="895" s="1"/>
        <i x="114" s="1"/>
        <i x="233" s="1"/>
        <i x="33" s="1"/>
        <i x="551" s="1"/>
        <i x="674" s="1"/>
        <i x="91" s="1"/>
        <i x="860" s="1"/>
        <i x="578" s="1"/>
        <i x="500" s="1"/>
        <i x="278" s="1"/>
        <i x="193" s="1"/>
        <i x="804" s="1"/>
        <i x="2" s="1"/>
        <i x="660" s="1"/>
        <i x="355" s="1"/>
        <i x="675" s="1"/>
        <i x="179" s="1"/>
        <i x="244" s="1"/>
        <i x="51" s="1"/>
        <i x="789" s="1"/>
        <i x="808" s="1"/>
        <i x="482" s="1"/>
        <i x="507" s="1"/>
        <i x="274" s="1"/>
        <i x="533" s="1"/>
        <i x="373" s="1"/>
        <i x="883" s="1"/>
        <i x="201" s="1"/>
        <i x="81" s="1"/>
        <i x="292" s="1"/>
        <i x="32" s="1"/>
        <i x="778" s="1"/>
        <i x="833" s="1"/>
        <i x="668" s="1"/>
        <i x="415" s="1"/>
        <i x="87" s="1"/>
        <i x="696" s="1"/>
        <i x="650" s="1"/>
        <i x="733" s="1"/>
        <i x="113" s="1"/>
        <i x="902" s="1"/>
        <i x="275" s="1"/>
        <i x="719" s="1"/>
        <i x="867" s="1"/>
        <i x="242" s="1"/>
        <i x="359" s="1"/>
        <i x="990" s="1"/>
        <i x="590" s="1"/>
        <i x="930" s="1"/>
        <i x="65" s="1"/>
        <i x="126" s="1"/>
        <i x="705" s="1"/>
        <i x="117" s="1"/>
        <i x="383" s="1"/>
        <i x="976" s="1"/>
        <i x="570" s="1"/>
        <i x="209" s="1"/>
        <i x="751" s="1"/>
        <i x="528" s="1"/>
        <i x="133" s="1"/>
        <i x="602" s="1"/>
        <i x="387" s="1"/>
        <i x="286" s="1"/>
        <i x="463" s="1"/>
        <i x="780" s="1"/>
        <i x="358" s="1"/>
        <i x="841" s="1"/>
        <i x="662" s="1"/>
        <i x="433" s="1"/>
        <i x="620" s="1"/>
        <i x="142" s="1"/>
        <i x="295" s="1"/>
        <i x="153" s="1"/>
        <i x="801" s="1"/>
        <i x="686" s="1"/>
        <i x="654" s="1"/>
        <i x="538" s="1"/>
        <i x="775" s="1"/>
        <i x="312" s="1"/>
        <i x="277" s="1"/>
        <i x="576" s="1"/>
        <i x="356" s="1"/>
        <i x="186" s="1"/>
        <i x="639" s="1"/>
        <i x="263" s="1"/>
        <i x="730" s="1"/>
        <i x="279" s="1"/>
        <i x="144" s="1"/>
        <i x="372" s="1"/>
        <i x="14" s="1"/>
        <i x="59" s="1"/>
        <i x="617" s="1"/>
        <i x="949" s="1"/>
        <i x="480" s="1"/>
        <i x="54" s="1"/>
        <i x="821" s="1"/>
        <i x="985" s="1"/>
        <i x="257" s="1"/>
        <i x="850" s="1"/>
        <i x="129" s="1"/>
        <i x="123" s="1"/>
        <i x="882" s="1"/>
        <i x="140" s="1"/>
        <i x="169" s="1"/>
        <i x="371" s="1"/>
        <i x="72" s="1"/>
        <i x="310" s="1"/>
        <i x="919" s="1"/>
        <i x="732" s="1"/>
        <i x="287" s="1"/>
        <i x="136" s="1"/>
        <i x="736" s="1"/>
        <i x="282" s="1"/>
        <i x="289" s="1"/>
        <i x="953" s="1"/>
        <i x="213" s="1"/>
        <i x="111" s="1"/>
        <i x="689" s="1"/>
        <i x="46" s="1"/>
        <i x="828" s="1"/>
        <i x="961" s="1"/>
        <i x="542" s="1"/>
        <i x="529" s="1"/>
        <i x="672" s="1"/>
        <i x="983" s="1"/>
        <i x="537" s="1"/>
        <i x="122" s="1"/>
        <i x="420" s="1"/>
        <i x="717" s="1"/>
        <i x="6" s="1"/>
        <i x="93" s="1"/>
        <i x="183" s="1"/>
        <i x="763" s="1"/>
        <i x="330" s="1"/>
        <i x="712" s="1"/>
        <i x="708" s="1"/>
        <i x="946" s="1"/>
        <i x="464" s="1"/>
        <i x="317" s="1"/>
        <i x="370" s="1"/>
        <i x="447" s="1"/>
        <i x="918" s="1"/>
        <i x="365" s="1"/>
        <i x="830" s="1"/>
        <i x="567" s="1"/>
        <i x="948" s="1"/>
        <i x="709" s="1"/>
        <i x="166" s="1"/>
        <i x="552" s="1"/>
        <i x="477" s="1"/>
        <i x="321" s="1"/>
        <i x="105" s="1"/>
        <i x="837" s="1"/>
        <i x="587" s="1"/>
        <i x="476" s="1"/>
        <i x="489" s="1"/>
        <i x="827" s="1"/>
        <i x="25" s="1"/>
        <i x="95" s="1"/>
        <i x="738" s="1"/>
        <i x="877" s="1"/>
        <i x="397" s="1"/>
        <i x="806" s="1"/>
        <i x="648" s="1"/>
        <i x="394" s="1"/>
        <i x="407" s="1"/>
        <i x="910" s="1"/>
        <i x="74" s="1"/>
        <i x="957" s="1"/>
        <i x="658" s="1"/>
        <i x="505" s="1"/>
        <i x="772" s="1"/>
        <i x="593" s="1"/>
        <i x="795" s="1"/>
        <i x="555" s="1"/>
        <i x="776" s="1"/>
        <i x="754" s="1"/>
        <i x="849" s="1"/>
        <i x="234" s="1"/>
        <i x="945" s="1"/>
        <i x="676" s="1"/>
        <i x="424" s="1"/>
        <i x="128" s="1"/>
        <i x="101" s="1"/>
        <i x="343" s="1"/>
        <i x="449" s="1"/>
        <i x="145" s="1"/>
        <i x="532" s="1"/>
        <i x="589" s="1"/>
        <i x="34" s="1"/>
        <i x="550" s="1"/>
        <i x="216" s="1"/>
        <i x="461" s="1"/>
        <i x="276" s="1"/>
        <i x="450" s="1"/>
        <i x="892" s="1"/>
        <i x="646" s="1"/>
        <i x="247" s="1"/>
        <i x="438" s="1"/>
        <i x="785" s="1"/>
        <i x="539" s="1"/>
        <i x="150" s="1"/>
        <i x="115" s="1"/>
        <i x="571" s="1"/>
        <i x="750" s="1"/>
        <i x="956" s="1"/>
        <i x="36" s="1"/>
        <i x="974" s="1"/>
        <i x="212" s="1"/>
        <i x="907" s="1"/>
        <i x="18" s="1"/>
        <i x="50" s="1"/>
        <i x="241" s="1"/>
        <i x="667" s="1"/>
        <i x="818" s="1"/>
        <i x="799" s="1"/>
        <i x="215" s="1"/>
        <i x="281" s="1"/>
        <i x="11" s="1"/>
        <i x="912" s="1"/>
        <i x="766" s="1"/>
        <i x="798" s="1"/>
        <i x="290" s="1"/>
        <i x="47" s="1"/>
        <i x="971" s="1"/>
        <i x="249" s="1"/>
        <i x="459" s="1"/>
        <i x="702" s="1"/>
        <i x="627" s="1"/>
        <i x="124" s="1"/>
        <i x="410" s="1"/>
        <i x="669" s="1"/>
        <i x="108" s="1"/>
        <i x="611" s="1"/>
        <i x="439" s="1"/>
        <i x="759" s="1"/>
        <i x="39" s="1"/>
        <i x="163" s="1"/>
        <i x="456" s="1"/>
        <i x="588" s="1"/>
        <i x="307" s="1"/>
        <i x="453" s="1"/>
        <i x="107" s="1"/>
        <i x="615" s="1"/>
        <i x="616" s="1"/>
        <i x="112" s="1"/>
        <i x="232" s="1"/>
        <i x="56" s="1"/>
        <i x="816" s="1"/>
        <i x="442" s="1"/>
        <i x="908" s="1"/>
        <i x="376" s="1"/>
        <i x="997" s="1"/>
        <i x="253" s="1"/>
        <i x="195" s="1"/>
        <i x="294" s="1"/>
        <i x="513" s="1"/>
        <i x="944" s="1"/>
        <i x="148" s="1"/>
        <i x="265" s="1"/>
        <i x="535" s="1"/>
        <i x="472" s="1"/>
        <i x="468" s="1"/>
        <i x="515" s="1"/>
        <i x="586" s="1"/>
        <i x="952" s="1"/>
        <i x="536" s="1"/>
        <i x="753" s="1"/>
        <i x="518" s="1"/>
        <i x="210" s="1"/>
        <i x="428" s="1"/>
        <i x="76" s="1"/>
        <i x="969" s="1"/>
        <i x="191" s="1"/>
        <i x="64" s="1"/>
        <i x="231" s="1"/>
        <i x="501" s="1"/>
        <i x="714" s="1"/>
        <i x="340" s="1"/>
        <i x="746" s="1"/>
        <i x="363" s="1"/>
        <i x="893" s="1"/>
        <i x="562" s="1"/>
        <i x="625" s="1"/>
        <i x="329" s="1"/>
        <i x="116" s="1"/>
        <i x="657" s="1"/>
        <i x="479" s="1"/>
        <i x="309" s="1"/>
        <i x="819" s="1"/>
        <i x="822" s="1"/>
        <i x="707" s="1"/>
        <i x="395" s="1"/>
        <i x="582" s="1"/>
        <i x="484" s="1"/>
        <i x="344" s="1"/>
        <i x="405" s="1"/>
        <i x="164" s="1"/>
        <i x="99" s="1"/>
        <i x="488" s="1"/>
        <i x="665" s="1"/>
        <i x="413" s="1"/>
        <i x="368" s="1"/>
        <i x="445" s="1"/>
        <i x="106" s="1"/>
        <i x="692" s="1"/>
        <i x="228" s="1"/>
        <i x="813" s="1"/>
        <i x="490" s="1"/>
        <i x="826" s="1"/>
        <i x="814" s="1"/>
        <i x="875" s="1"/>
        <i x="43" s="1"/>
        <i x="297" s="1"/>
        <i x="666" s="1"/>
        <i x="661" s="1"/>
        <i x="471" s="1"/>
        <i x="558" s="1"/>
        <i x="762" s="1"/>
        <i x="283" s="1"/>
        <i x="341" s="1"/>
        <i x="7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3161844-23B6-4610-803F-0ACF2409A91C}" cache="Slicer_Category" caption="Category" rowHeight="241300"/>
  <slicer name="Sales" xr10:uid="{D6E302F1-72B2-4716-90D6-5704A9B30EFB}" cache="Slicer_Sales" caption="Sales" rowHeight="241300"/>
  <slicer name="Product" xr10:uid="{512622AA-72F9-4CAE-B88E-FDC845E20EB5}" cache="Slicer_Product" caption="Product" rowHeight="241300"/>
  <slicer name="Sales 1" xr10:uid="{ADCF4B59-3819-4306-B39F-9D60C3B77A82}" cache="Slicer_Sales1" caption="Sales" rowHeight="241300"/>
  <slicer name="Months (Order_Date)" xr10:uid="{3C129466-067D-4335-B901-2A3A0736E4C2}" cache="Slicer_Months__Order_Date" caption="Months (Order_Date)" rowHeight="241300"/>
  <slicer name="Region" xr10:uid="{B799C479-3D23-4896-ADC1-8133ADA33EE8}" cache="Slicer_Region" caption="Region" rowHeight="241300"/>
  <slicer name="Profit" xr10:uid="{FD77CA57-AFA6-4D62-ACE0-12E1DCE9F8B8}" cache="Slicer_Profit" caption="Profi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05F5-2D86-486C-A6FF-08CBAB45B7B5}">
  <dimension ref="A3:B7"/>
  <sheetViews>
    <sheetView topLeftCell="A2" workbookViewId="0">
      <selection activeCell="H4" sqref="H4"/>
    </sheetView>
  </sheetViews>
  <sheetFormatPr defaultRowHeight="14.5" x14ac:dyDescent="0.35"/>
  <cols>
    <col min="1" max="1" width="13.1796875" bestFit="1" customWidth="1"/>
    <col min="2" max="2" width="11.36328125" bestFit="1" customWidth="1"/>
  </cols>
  <sheetData>
    <row r="3" spans="1:2" x14ac:dyDescent="0.35">
      <c r="A3" s="4" t="s">
        <v>1027</v>
      </c>
      <c r="B3" t="s">
        <v>1029</v>
      </c>
    </row>
    <row r="4" spans="1:2" x14ac:dyDescent="0.35">
      <c r="A4" s="5" t="s">
        <v>13</v>
      </c>
      <c r="B4" s="2">
        <v>23944635</v>
      </c>
    </row>
    <row r="5" spans="1:2" x14ac:dyDescent="0.35">
      <c r="A5" s="5" t="s">
        <v>18</v>
      </c>
      <c r="B5" s="2">
        <v>28750992</v>
      </c>
    </row>
    <row r="6" spans="1:2" x14ac:dyDescent="0.35">
      <c r="A6" s="5" t="s">
        <v>23</v>
      </c>
      <c r="B6" s="2">
        <v>24306818</v>
      </c>
    </row>
    <row r="7" spans="1:2" x14ac:dyDescent="0.35">
      <c r="A7" s="5" t="s">
        <v>1028</v>
      </c>
      <c r="B7" s="2">
        <v>77002445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CF66A-41D0-44C8-8A20-C468F8B3A98F}">
  <dimension ref="A3:B8"/>
  <sheetViews>
    <sheetView zoomScale="85" zoomScaleNormal="85" workbookViewId="0">
      <selection activeCell="B5" sqref="B5"/>
    </sheetView>
  </sheetViews>
  <sheetFormatPr defaultRowHeight="14.5" x14ac:dyDescent="0.35"/>
  <cols>
    <col min="1" max="1" width="13.1796875" bestFit="1" customWidth="1"/>
    <col min="2" max="2" width="12" bestFit="1" customWidth="1"/>
  </cols>
  <sheetData>
    <row r="3" spans="1:2" x14ac:dyDescent="0.35">
      <c r="A3" s="4" t="s">
        <v>1027</v>
      </c>
      <c r="B3" t="s">
        <v>1030</v>
      </c>
    </row>
    <row r="4" spans="1:2" x14ac:dyDescent="0.35">
      <c r="A4" s="5" t="s">
        <v>12</v>
      </c>
      <c r="B4" s="2">
        <v>1539574.4500000002</v>
      </c>
    </row>
    <row r="5" spans="1:2" x14ac:dyDescent="0.35">
      <c r="A5" s="5" t="s">
        <v>17</v>
      </c>
      <c r="B5" s="2">
        <v>1250369.3400000001</v>
      </c>
    </row>
    <row r="6" spans="1:2" x14ac:dyDescent="0.35">
      <c r="A6" s="5" t="s">
        <v>22</v>
      </c>
      <c r="B6" s="2">
        <v>1769317.9400000013</v>
      </c>
    </row>
    <row r="7" spans="1:2" x14ac:dyDescent="0.35">
      <c r="A7" s="5" t="s">
        <v>28</v>
      </c>
      <c r="B7" s="2">
        <v>1576587.3499999992</v>
      </c>
    </row>
    <row r="8" spans="1:2" x14ac:dyDescent="0.35">
      <c r="A8" s="5" t="s">
        <v>1028</v>
      </c>
      <c r="B8" s="2">
        <v>6135849.0800000001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4FEE6-20E4-4FA6-8EAB-21BD0EB9F28E}">
  <dimension ref="A3:B17"/>
  <sheetViews>
    <sheetView workbookViewId="0">
      <selection activeCell="K31" sqref="K31"/>
    </sheetView>
  </sheetViews>
  <sheetFormatPr defaultRowHeight="14.5" x14ac:dyDescent="0.35"/>
  <cols>
    <col min="1" max="1" width="12.36328125" bestFit="1" customWidth="1"/>
    <col min="2" max="2" width="11.36328125" bestFit="1" customWidth="1"/>
  </cols>
  <sheetData>
    <row r="3" spans="1:2" x14ac:dyDescent="0.35">
      <c r="A3" s="4" t="s">
        <v>1027</v>
      </c>
      <c r="B3" t="s">
        <v>1029</v>
      </c>
    </row>
    <row r="4" spans="1:2" x14ac:dyDescent="0.35">
      <c r="A4" s="5" t="s">
        <v>1043</v>
      </c>
      <c r="B4" s="2">
        <v>77002445</v>
      </c>
    </row>
    <row r="5" spans="1:2" x14ac:dyDescent="0.35">
      <c r="A5" s="6" t="s">
        <v>1031</v>
      </c>
      <c r="B5" s="2">
        <v>6077166</v>
      </c>
    </row>
    <row r="6" spans="1:2" x14ac:dyDescent="0.35">
      <c r="A6" s="6" t="s">
        <v>1032</v>
      </c>
      <c r="B6" s="2">
        <v>5960920</v>
      </c>
    </row>
    <row r="7" spans="1:2" x14ac:dyDescent="0.35">
      <c r="A7" s="6" t="s">
        <v>1033</v>
      </c>
      <c r="B7" s="2">
        <v>6426323</v>
      </c>
    </row>
    <row r="8" spans="1:2" x14ac:dyDescent="0.35">
      <c r="A8" s="6" t="s">
        <v>1034</v>
      </c>
      <c r="B8" s="2">
        <v>7798244</v>
      </c>
    </row>
    <row r="9" spans="1:2" x14ac:dyDescent="0.35">
      <c r="A9" s="6" t="s">
        <v>1035</v>
      </c>
      <c r="B9" s="2">
        <v>6373300</v>
      </c>
    </row>
    <row r="10" spans="1:2" x14ac:dyDescent="0.35">
      <c r="A10" s="6" t="s">
        <v>1036</v>
      </c>
      <c r="B10" s="2">
        <v>6611670</v>
      </c>
    </row>
    <row r="11" spans="1:2" x14ac:dyDescent="0.35">
      <c r="A11" s="6" t="s">
        <v>1037</v>
      </c>
      <c r="B11" s="2">
        <v>5103108</v>
      </c>
    </row>
    <row r="12" spans="1:2" x14ac:dyDescent="0.35">
      <c r="A12" s="6" t="s">
        <v>1038</v>
      </c>
      <c r="B12" s="2">
        <v>7484395</v>
      </c>
    </row>
    <row r="13" spans="1:2" x14ac:dyDescent="0.35">
      <c r="A13" s="6" t="s">
        <v>1039</v>
      </c>
      <c r="B13" s="2">
        <v>5931128</v>
      </c>
    </row>
    <row r="14" spans="1:2" x14ac:dyDescent="0.35">
      <c r="A14" s="6" t="s">
        <v>1040</v>
      </c>
      <c r="B14" s="2">
        <v>7042079</v>
      </c>
    </row>
    <row r="15" spans="1:2" x14ac:dyDescent="0.35">
      <c r="A15" s="6" t="s">
        <v>1041</v>
      </c>
      <c r="B15" s="2">
        <v>5453750</v>
      </c>
    </row>
    <row r="16" spans="1:2" x14ac:dyDescent="0.35">
      <c r="A16" s="6" t="s">
        <v>1042</v>
      </c>
      <c r="B16" s="2">
        <v>6740362</v>
      </c>
    </row>
    <row r="17" spans="1:2" x14ac:dyDescent="0.35">
      <c r="A17" s="5" t="s">
        <v>1028</v>
      </c>
      <c r="B17" s="2">
        <v>77002445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471F-2B93-4083-91CB-EB46A928D2A8}">
  <dimension ref="A3:B10"/>
  <sheetViews>
    <sheetView workbookViewId="0">
      <selection activeCell="F6" sqref="F6"/>
    </sheetView>
  </sheetViews>
  <sheetFormatPr defaultRowHeight="14.5" x14ac:dyDescent="0.35"/>
  <cols>
    <col min="1" max="1" width="12.36328125" bestFit="1" customWidth="1"/>
    <col min="2" max="2" width="11.36328125" bestFit="1" customWidth="1"/>
  </cols>
  <sheetData>
    <row r="3" spans="1:2" x14ac:dyDescent="0.35">
      <c r="A3" s="4" t="s">
        <v>1027</v>
      </c>
      <c r="B3" t="s">
        <v>1029</v>
      </c>
    </row>
    <row r="4" spans="1:2" x14ac:dyDescent="0.35">
      <c r="A4" s="5" t="s">
        <v>24</v>
      </c>
      <c r="B4" s="2">
        <v>12125555</v>
      </c>
    </row>
    <row r="5" spans="1:2" x14ac:dyDescent="0.35">
      <c r="A5" s="5" t="s">
        <v>31</v>
      </c>
      <c r="B5" s="2">
        <v>11592876</v>
      </c>
    </row>
    <row r="6" spans="1:2" x14ac:dyDescent="0.35">
      <c r="A6" s="5" t="s">
        <v>19</v>
      </c>
      <c r="B6" s="2">
        <v>11137139</v>
      </c>
    </row>
    <row r="7" spans="1:2" x14ac:dyDescent="0.35">
      <c r="A7" s="5" t="s">
        <v>26</v>
      </c>
      <c r="B7" s="2">
        <v>11088517</v>
      </c>
    </row>
    <row r="8" spans="1:2" x14ac:dyDescent="0.35">
      <c r="A8" s="5" t="s">
        <v>14</v>
      </c>
      <c r="B8" s="2">
        <v>10579190</v>
      </c>
    </row>
    <row r="9" spans="1:2" x14ac:dyDescent="0.35">
      <c r="A9" s="5" t="s">
        <v>40</v>
      </c>
      <c r="B9" s="2">
        <v>10047267</v>
      </c>
    </row>
    <row r="10" spans="1:2" x14ac:dyDescent="0.35">
      <c r="A10" s="5" t="s">
        <v>1028</v>
      </c>
      <c r="B10" s="2">
        <v>66570544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2"/>
  <sheetViews>
    <sheetView topLeftCell="A985" workbookViewId="0">
      <selection activeCell="J1002" sqref="J1002"/>
    </sheetView>
  </sheetViews>
  <sheetFormatPr defaultRowHeight="14.5" x14ac:dyDescent="0.35"/>
  <cols>
    <col min="1" max="1" width="14.7265625" customWidth="1"/>
    <col min="2" max="2" width="20.54296875" style="1" customWidth="1"/>
    <col min="3" max="3" width="23.453125" customWidth="1"/>
    <col min="4" max="4" width="14.1796875" customWidth="1"/>
    <col min="5" max="5" width="19.81640625" customWidth="1"/>
    <col min="6" max="6" width="13.1796875" customWidth="1"/>
    <col min="7" max="7" width="11.36328125" style="2" bestFit="1" customWidth="1"/>
    <col min="8" max="8" width="10.81640625" customWidth="1"/>
    <col min="9" max="9" width="12.54296875" style="3" customWidth="1"/>
    <col min="10" max="10" width="11.54296875" style="2" customWidth="1"/>
  </cols>
  <sheetData>
    <row r="1" spans="1:10" x14ac:dyDescent="0.35">
      <c r="A1" t="s">
        <v>0</v>
      </c>
      <c r="B1" s="1" t="s">
        <v>1</v>
      </c>
      <c r="C1" t="s">
        <v>2</v>
      </c>
      <c r="D1" t="s">
        <v>3</v>
      </c>
      <c r="E1" t="s">
        <v>4</v>
      </c>
      <c r="F1" t="s">
        <v>5</v>
      </c>
      <c r="G1" s="2" t="s">
        <v>6</v>
      </c>
      <c r="H1" t="s">
        <v>7</v>
      </c>
      <c r="I1" s="3" t="s">
        <v>8</v>
      </c>
      <c r="J1" s="2" t="s">
        <v>9</v>
      </c>
    </row>
    <row r="2" spans="1:10" x14ac:dyDescent="0.35">
      <c r="A2" t="s">
        <v>10</v>
      </c>
      <c r="B2" s="1">
        <v>45485</v>
      </c>
      <c r="C2" t="s">
        <v>11</v>
      </c>
      <c r="D2" t="s">
        <v>12</v>
      </c>
      <c r="E2" t="s">
        <v>13</v>
      </c>
      <c r="F2" t="s">
        <v>14</v>
      </c>
      <c r="G2" s="2">
        <v>62116</v>
      </c>
      <c r="H2">
        <v>4</v>
      </c>
      <c r="I2" s="3">
        <v>0</v>
      </c>
      <c r="J2" s="2">
        <v>5009.2299999999996</v>
      </c>
    </row>
    <row r="3" spans="1:10" x14ac:dyDescent="0.35">
      <c r="A3" t="s">
        <v>15</v>
      </c>
      <c r="B3" s="1">
        <v>45408</v>
      </c>
      <c r="C3" t="s">
        <v>16</v>
      </c>
      <c r="D3" t="s">
        <v>17</v>
      </c>
      <c r="E3" t="s">
        <v>18</v>
      </c>
      <c r="F3" t="s">
        <v>19</v>
      </c>
      <c r="G3" s="2">
        <v>46728</v>
      </c>
      <c r="H3">
        <v>3</v>
      </c>
      <c r="I3" s="3">
        <v>0</v>
      </c>
      <c r="J3" s="2">
        <v>3147.42</v>
      </c>
    </row>
    <row r="4" spans="1:10" x14ac:dyDescent="0.35">
      <c r="A4" t="s">
        <v>20</v>
      </c>
      <c r="B4" s="1">
        <v>45391</v>
      </c>
      <c r="C4" t="s">
        <v>21</v>
      </c>
      <c r="D4" t="s">
        <v>22</v>
      </c>
      <c r="E4" t="s">
        <v>23</v>
      </c>
      <c r="F4" t="s">
        <v>24</v>
      </c>
      <c r="G4" s="2">
        <v>93260</v>
      </c>
      <c r="H4">
        <v>1</v>
      </c>
      <c r="I4" s="3">
        <v>0.15</v>
      </c>
      <c r="J4" s="2">
        <v>8798.4699999999993</v>
      </c>
    </row>
    <row r="5" spans="1:10" x14ac:dyDescent="0.35">
      <c r="A5" t="s">
        <v>25</v>
      </c>
      <c r="B5" s="1">
        <v>45416</v>
      </c>
      <c r="C5" t="s">
        <v>16</v>
      </c>
      <c r="D5" t="s">
        <v>17</v>
      </c>
      <c r="E5" t="s">
        <v>18</v>
      </c>
      <c r="F5" t="s">
        <v>26</v>
      </c>
      <c r="G5" s="2">
        <v>52488</v>
      </c>
      <c r="H5">
        <v>5</v>
      </c>
      <c r="I5" s="3">
        <v>0.1</v>
      </c>
      <c r="J5" s="2">
        <v>-1172.47</v>
      </c>
    </row>
    <row r="6" spans="1:10" x14ac:dyDescent="0.35">
      <c r="A6" t="s">
        <v>27</v>
      </c>
      <c r="B6" s="1">
        <v>45586</v>
      </c>
      <c r="C6" t="s">
        <v>11</v>
      </c>
      <c r="D6" t="s">
        <v>28</v>
      </c>
      <c r="E6" t="s">
        <v>23</v>
      </c>
      <c r="F6" t="s">
        <v>24</v>
      </c>
      <c r="G6" s="2">
        <v>109840</v>
      </c>
      <c r="H6">
        <v>2</v>
      </c>
      <c r="I6" s="3">
        <v>0.1</v>
      </c>
      <c r="J6" s="2">
        <v>5253.76</v>
      </c>
    </row>
    <row r="7" spans="1:10" x14ac:dyDescent="0.35">
      <c r="A7" t="s">
        <v>29</v>
      </c>
      <c r="B7" s="1">
        <v>45528</v>
      </c>
      <c r="C7" t="s">
        <v>16</v>
      </c>
      <c r="D7" t="s">
        <v>12</v>
      </c>
      <c r="E7" t="s">
        <v>18</v>
      </c>
      <c r="F7" t="s">
        <v>14</v>
      </c>
      <c r="G7" s="2">
        <v>70328</v>
      </c>
      <c r="H7">
        <v>4</v>
      </c>
      <c r="I7" s="3">
        <v>0.15</v>
      </c>
      <c r="J7" s="2">
        <v>1875.2</v>
      </c>
    </row>
    <row r="8" spans="1:10" x14ac:dyDescent="0.35">
      <c r="A8" t="s">
        <v>30</v>
      </c>
      <c r="B8" s="1">
        <v>45569</v>
      </c>
      <c r="C8" t="s">
        <v>16</v>
      </c>
      <c r="D8" t="s">
        <v>12</v>
      </c>
      <c r="E8" t="s">
        <v>18</v>
      </c>
      <c r="F8" t="s">
        <v>31</v>
      </c>
      <c r="G8" s="2">
        <v>81629</v>
      </c>
      <c r="H8">
        <v>5</v>
      </c>
      <c r="I8" s="3">
        <v>0.05</v>
      </c>
      <c r="J8" s="2">
        <v>12181.89</v>
      </c>
    </row>
    <row r="9" spans="1:10" x14ac:dyDescent="0.35">
      <c r="A9" t="s">
        <v>32</v>
      </c>
      <c r="B9" s="1">
        <v>45353</v>
      </c>
      <c r="C9" t="s">
        <v>21</v>
      </c>
      <c r="D9" t="s">
        <v>28</v>
      </c>
      <c r="E9" t="s">
        <v>23</v>
      </c>
      <c r="F9" t="s">
        <v>33</v>
      </c>
      <c r="G9" s="2">
        <v>127975</v>
      </c>
      <c r="H9">
        <v>10</v>
      </c>
      <c r="I9" s="3">
        <v>0.15</v>
      </c>
      <c r="J9" s="2">
        <v>-3991.49</v>
      </c>
    </row>
    <row r="10" spans="1:10" x14ac:dyDescent="0.35">
      <c r="A10" t="s">
        <v>34</v>
      </c>
      <c r="B10" s="1">
        <v>45450</v>
      </c>
      <c r="C10" t="s">
        <v>21</v>
      </c>
      <c r="D10" t="s">
        <v>22</v>
      </c>
      <c r="E10" t="s">
        <v>18</v>
      </c>
      <c r="F10" t="s">
        <v>19</v>
      </c>
      <c r="G10" s="2">
        <v>26093</v>
      </c>
      <c r="H10">
        <v>3</v>
      </c>
      <c r="I10" s="3">
        <v>0.1</v>
      </c>
      <c r="J10" s="2">
        <v>-434.42</v>
      </c>
    </row>
    <row r="11" spans="1:10" x14ac:dyDescent="0.35">
      <c r="A11" t="s">
        <v>35</v>
      </c>
      <c r="B11" s="1">
        <v>45527</v>
      </c>
      <c r="C11" t="s">
        <v>16</v>
      </c>
      <c r="D11" t="s">
        <v>12</v>
      </c>
      <c r="E11" t="s">
        <v>18</v>
      </c>
      <c r="F11" t="s">
        <v>14</v>
      </c>
      <c r="G11" s="2">
        <v>83027</v>
      </c>
      <c r="H11">
        <v>4</v>
      </c>
      <c r="I11" s="3">
        <v>0.15</v>
      </c>
      <c r="J11" s="2">
        <v>7854.69</v>
      </c>
    </row>
    <row r="12" spans="1:10" x14ac:dyDescent="0.35">
      <c r="A12" t="s">
        <v>36</v>
      </c>
      <c r="B12" s="1">
        <v>45482</v>
      </c>
      <c r="C12" t="s">
        <v>16</v>
      </c>
      <c r="D12" t="s">
        <v>17</v>
      </c>
      <c r="E12" t="s">
        <v>18</v>
      </c>
      <c r="F12" t="s">
        <v>24</v>
      </c>
      <c r="G12" s="2">
        <v>11569</v>
      </c>
      <c r="H12">
        <v>4</v>
      </c>
      <c r="I12" s="3">
        <v>0.1</v>
      </c>
      <c r="J12" s="2">
        <v>1058.49</v>
      </c>
    </row>
    <row r="13" spans="1:10" x14ac:dyDescent="0.35">
      <c r="A13" t="s">
        <v>37</v>
      </c>
      <c r="B13" s="1">
        <v>45340</v>
      </c>
      <c r="C13" t="s">
        <v>11</v>
      </c>
      <c r="D13" t="s">
        <v>22</v>
      </c>
      <c r="E13" t="s">
        <v>13</v>
      </c>
      <c r="F13" t="s">
        <v>24</v>
      </c>
      <c r="G13" s="2">
        <v>110917</v>
      </c>
      <c r="H13">
        <v>2</v>
      </c>
      <c r="I13" s="3">
        <v>0.05</v>
      </c>
      <c r="J13" s="2">
        <v>16844.95</v>
      </c>
    </row>
    <row r="14" spans="1:10" x14ac:dyDescent="0.35">
      <c r="A14" t="s">
        <v>38</v>
      </c>
      <c r="B14" s="1">
        <v>45506</v>
      </c>
      <c r="C14" t="s">
        <v>11</v>
      </c>
      <c r="D14" t="s">
        <v>22</v>
      </c>
      <c r="E14" t="s">
        <v>18</v>
      </c>
      <c r="F14" t="s">
        <v>31</v>
      </c>
      <c r="G14" s="2">
        <v>37868</v>
      </c>
      <c r="H14">
        <v>10</v>
      </c>
      <c r="I14" s="3">
        <v>0.05</v>
      </c>
      <c r="J14" s="2">
        <v>1759.03</v>
      </c>
    </row>
    <row r="15" spans="1:10" x14ac:dyDescent="0.35">
      <c r="A15" t="s">
        <v>39</v>
      </c>
      <c r="B15" s="1">
        <v>45583</v>
      </c>
      <c r="C15" t="s">
        <v>16</v>
      </c>
      <c r="D15" t="s">
        <v>12</v>
      </c>
      <c r="E15" t="s">
        <v>23</v>
      </c>
      <c r="F15" t="s">
        <v>40</v>
      </c>
      <c r="G15" s="2">
        <v>131760</v>
      </c>
      <c r="H15">
        <v>5</v>
      </c>
      <c r="I15" s="3">
        <v>0.1</v>
      </c>
      <c r="J15" s="2">
        <v>-5979.17</v>
      </c>
    </row>
    <row r="16" spans="1:10" x14ac:dyDescent="0.35">
      <c r="A16" t="s">
        <v>41</v>
      </c>
      <c r="B16" s="1">
        <v>45494</v>
      </c>
      <c r="C16" t="s">
        <v>11</v>
      </c>
      <c r="D16" t="s">
        <v>12</v>
      </c>
      <c r="E16" t="s">
        <v>18</v>
      </c>
      <c r="F16" t="s">
        <v>14</v>
      </c>
      <c r="G16" s="2">
        <v>130025</v>
      </c>
      <c r="H16">
        <v>8</v>
      </c>
      <c r="I16" s="3">
        <v>0.1</v>
      </c>
      <c r="J16" s="2">
        <v>10889.4</v>
      </c>
    </row>
    <row r="17" spans="1:10" x14ac:dyDescent="0.35">
      <c r="A17" t="s">
        <v>42</v>
      </c>
      <c r="B17" s="1">
        <v>45453</v>
      </c>
      <c r="C17" t="s">
        <v>16</v>
      </c>
      <c r="D17" t="s">
        <v>12</v>
      </c>
      <c r="E17" t="s">
        <v>13</v>
      </c>
      <c r="F17" t="s">
        <v>33</v>
      </c>
      <c r="G17" s="2">
        <v>133637</v>
      </c>
      <c r="H17">
        <v>8</v>
      </c>
      <c r="I17" s="3">
        <v>0</v>
      </c>
      <c r="J17" s="2">
        <v>7766.3</v>
      </c>
    </row>
    <row r="18" spans="1:10" x14ac:dyDescent="0.35">
      <c r="A18" t="s">
        <v>43</v>
      </c>
      <c r="B18" s="1">
        <v>45552</v>
      </c>
      <c r="C18" t="s">
        <v>11</v>
      </c>
      <c r="D18" t="s">
        <v>12</v>
      </c>
      <c r="E18" t="s">
        <v>18</v>
      </c>
      <c r="F18" t="s">
        <v>33</v>
      </c>
      <c r="G18" s="2">
        <v>48648</v>
      </c>
      <c r="H18">
        <v>6</v>
      </c>
      <c r="I18" s="3">
        <v>0.1</v>
      </c>
      <c r="J18" s="2">
        <v>559.02</v>
      </c>
    </row>
    <row r="19" spans="1:10" x14ac:dyDescent="0.35">
      <c r="A19" t="s">
        <v>44</v>
      </c>
      <c r="B19" s="1">
        <v>45327</v>
      </c>
      <c r="C19" t="s">
        <v>16</v>
      </c>
      <c r="D19" t="s">
        <v>12</v>
      </c>
      <c r="E19" t="s">
        <v>18</v>
      </c>
      <c r="F19" t="s">
        <v>26</v>
      </c>
      <c r="G19" s="2">
        <v>49629</v>
      </c>
      <c r="H19">
        <v>9</v>
      </c>
      <c r="I19" s="3">
        <v>0.15</v>
      </c>
      <c r="J19" s="2">
        <v>202.46</v>
      </c>
    </row>
    <row r="20" spans="1:10" x14ac:dyDescent="0.35">
      <c r="A20" t="s">
        <v>45</v>
      </c>
      <c r="B20" s="1">
        <v>45433</v>
      </c>
      <c r="C20" t="s">
        <v>16</v>
      </c>
      <c r="D20" t="s">
        <v>22</v>
      </c>
      <c r="E20" t="s">
        <v>18</v>
      </c>
      <c r="F20" t="s">
        <v>40</v>
      </c>
      <c r="G20" s="2">
        <v>122264</v>
      </c>
      <c r="H20">
        <v>6</v>
      </c>
      <c r="I20" s="3">
        <v>0.05</v>
      </c>
      <c r="J20" s="2">
        <v>16675.63</v>
      </c>
    </row>
    <row r="21" spans="1:10" x14ac:dyDescent="0.35">
      <c r="A21" t="s">
        <v>46</v>
      </c>
      <c r="B21" s="1">
        <v>45475</v>
      </c>
      <c r="C21" t="s">
        <v>16</v>
      </c>
      <c r="D21" t="s">
        <v>17</v>
      </c>
      <c r="E21" t="s">
        <v>23</v>
      </c>
      <c r="F21" t="s">
        <v>26</v>
      </c>
      <c r="G21" s="2">
        <v>40445</v>
      </c>
      <c r="H21">
        <v>8</v>
      </c>
      <c r="I21" s="3">
        <v>0.15</v>
      </c>
      <c r="J21" s="2">
        <v>3091.98</v>
      </c>
    </row>
    <row r="22" spans="1:10" x14ac:dyDescent="0.35">
      <c r="A22" t="s">
        <v>47</v>
      </c>
      <c r="B22" s="1">
        <v>45366</v>
      </c>
      <c r="C22" t="s">
        <v>11</v>
      </c>
      <c r="D22" t="s">
        <v>17</v>
      </c>
      <c r="E22" t="s">
        <v>13</v>
      </c>
      <c r="F22" t="s">
        <v>33</v>
      </c>
      <c r="G22" s="2">
        <v>137263</v>
      </c>
      <c r="H22">
        <v>1</v>
      </c>
      <c r="I22" s="3">
        <v>0.1</v>
      </c>
      <c r="J22" s="2">
        <v>6048.26</v>
      </c>
    </row>
    <row r="23" spans="1:10" x14ac:dyDescent="0.35">
      <c r="A23" t="s">
        <v>48</v>
      </c>
      <c r="B23" s="1">
        <v>45427</v>
      </c>
      <c r="C23" t="s">
        <v>21</v>
      </c>
      <c r="D23" t="s">
        <v>22</v>
      </c>
      <c r="E23" t="s">
        <v>13</v>
      </c>
      <c r="F23" t="s">
        <v>14</v>
      </c>
      <c r="G23" s="2">
        <v>59211</v>
      </c>
      <c r="H23">
        <v>6</v>
      </c>
      <c r="I23" s="3">
        <v>0</v>
      </c>
      <c r="J23" s="2">
        <v>3975.55</v>
      </c>
    </row>
    <row r="24" spans="1:10" x14ac:dyDescent="0.35">
      <c r="A24" t="s">
        <v>49</v>
      </c>
      <c r="B24" s="1">
        <v>45632</v>
      </c>
      <c r="C24" t="s">
        <v>21</v>
      </c>
      <c r="D24" t="s">
        <v>17</v>
      </c>
      <c r="E24" t="s">
        <v>13</v>
      </c>
      <c r="F24" t="s">
        <v>26</v>
      </c>
      <c r="G24" s="2">
        <v>7494</v>
      </c>
      <c r="H24">
        <v>10</v>
      </c>
      <c r="I24" s="3">
        <v>0.15</v>
      </c>
      <c r="J24" s="2">
        <v>563.51</v>
      </c>
    </row>
    <row r="25" spans="1:10" x14ac:dyDescent="0.35">
      <c r="A25" t="s">
        <v>50</v>
      </c>
      <c r="B25" s="1">
        <v>45393</v>
      </c>
      <c r="C25" t="s">
        <v>16</v>
      </c>
      <c r="D25" t="s">
        <v>17</v>
      </c>
      <c r="E25" t="s">
        <v>18</v>
      </c>
      <c r="F25" t="s">
        <v>24</v>
      </c>
      <c r="G25" s="2">
        <v>11794</v>
      </c>
      <c r="H25">
        <v>3</v>
      </c>
      <c r="I25" s="3">
        <v>0.05</v>
      </c>
      <c r="J25" s="2">
        <v>1445.34</v>
      </c>
    </row>
    <row r="26" spans="1:10" x14ac:dyDescent="0.35">
      <c r="A26" t="s">
        <v>51</v>
      </c>
      <c r="B26" s="1">
        <v>45635</v>
      </c>
      <c r="C26" t="s">
        <v>16</v>
      </c>
      <c r="D26" t="s">
        <v>17</v>
      </c>
      <c r="E26" t="s">
        <v>18</v>
      </c>
      <c r="F26" t="s">
        <v>14</v>
      </c>
      <c r="G26" s="2">
        <v>8758</v>
      </c>
      <c r="H26">
        <v>1</v>
      </c>
      <c r="I26" s="3">
        <v>0.1</v>
      </c>
      <c r="J26" s="2">
        <v>1049.3800000000001</v>
      </c>
    </row>
    <row r="27" spans="1:10" x14ac:dyDescent="0.35">
      <c r="A27" t="s">
        <v>52</v>
      </c>
      <c r="B27" s="1">
        <v>45459</v>
      </c>
      <c r="C27" t="s">
        <v>16</v>
      </c>
      <c r="D27" t="s">
        <v>28</v>
      </c>
      <c r="E27" t="s">
        <v>13</v>
      </c>
      <c r="F27" t="s">
        <v>19</v>
      </c>
      <c r="G27" s="2">
        <v>61432</v>
      </c>
      <c r="H27">
        <v>8</v>
      </c>
      <c r="I27" s="3">
        <v>0</v>
      </c>
      <c r="J27" s="2">
        <v>13401.15</v>
      </c>
    </row>
    <row r="28" spans="1:10" x14ac:dyDescent="0.35">
      <c r="A28" t="s">
        <v>53</v>
      </c>
      <c r="B28" s="1">
        <v>45538</v>
      </c>
      <c r="C28" t="s">
        <v>11</v>
      </c>
      <c r="D28" t="s">
        <v>17</v>
      </c>
      <c r="E28" t="s">
        <v>13</v>
      </c>
      <c r="F28" t="s">
        <v>33</v>
      </c>
      <c r="G28" s="2">
        <v>105530</v>
      </c>
      <c r="H28">
        <v>5</v>
      </c>
      <c r="I28" s="3">
        <v>0.15</v>
      </c>
      <c r="J28" s="2">
        <v>4973.6000000000004</v>
      </c>
    </row>
    <row r="29" spans="1:10" x14ac:dyDescent="0.35">
      <c r="A29" t="s">
        <v>54</v>
      </c>
      <c r="B29" s="1">
        <v>45304</v>
      </c>
      <c r="C29" t="s">
        <v>11</v>
      </c>
      <c r="D29" t="s">
        <v>12</v>
      </c>
      <c r="E29" t="s">
        <v>18</v>
      </c>
      <c r="F29" t="s">
        <v>31</v>
      </c>
      <c r="G29" s="2">
        <v>11447</v>
      </c>
      <c r="H29">
        <v>2</v>
      </c>
      <c r="I29" s="3">
        <v>0.15</v>
      </c>
      <c r="J29" s="2">
        <v>-600.63</v>
      </c>
    </row>
    <row r="30" spans="1:10" x14ac:dyDescent="0.35">
      <c r="A30" t="s">
        <v>55</v>
      </c>
      <c r="B30" s="1">
        <v>45365</v>
      </c>
      <c r="C30" t="s">
        <v>16</v>
      </c>
      <c r="D30" t="s">
        <v>28</v>
      </c>
      <c r="E30" t="s">
        <v>13</v>
      </c>
      <c r="F30" t="s">
        <v>31</v>
      </c>
      <c r="G30" s="2">
        <v>88191</v>
      </c>
      <c r="H30">
        <v>4</v>
      </c>
      <c r="I30" s="3">
        <v>0</v>
      </c>
      <c r="J30" s="2">
        <v>7086.37</v>
      </c>
    </row>
    <row r="31" spans="1:10" x14ac:dyDescent="0.35">
      <c r="A31" t="s">
        <v>56</v>
      </c>
      <c r="B31" s="1">
        <v>45413</v>
      </c>
      <c r="C31" t="s">
        <v>21</v>
      </c>
      <c r="D31" t="s">
        <v>12</v>
      </c>
      <c r="E31" t="s">
        <v>23</v>
      </c>
      <c r="F31" t="s">
        <v>33</v>
      </c>
      <c r="G31" s="2">
        <v>133281</v>
      </c>
      <c r="H31">
        <v>10</v>
      </c>
      <c r="I31" s="3">
        <v>0.05</v>
      </c>
      <c r="J31" s="2">
        <v>7175.12</v>
      </c>
    </row>
    <row r="32" spans="1:10" x14ac:dyDescent="0.35">
      <c r="A32" t="s">
        <v>57</v>
      </c>
      <c r="B32" s="1">
        <v>45310</v>
      </c>
      <c r="C32" t="s">
        <v>11</v>
      </c>
      <c r="D32" t="s">
        <v>22</v>
      </c>
      <c r="E32" t="s">
        <v>13</v>
      </c>
      <c r="F32" t="s">
        <v>33</v>
      </c>
      <c r="G32" s="2">
        <v>111119</v>
      </c>
      <c r="H32">
        <v>9</v>
      </c>
      <c r="I32" s="3">
        <v>0</v>
      </c>
      <c r="J32" s="2">
        <v>8025.3</v>
      </c>
    </row>
    <row r="33" spans="1:10" x14ac:dyDescent="0.35">
      <c r="A33" t="s">
        <v>58</v>
      </c>
      <c r="B33" s="1">
        <v>45348</v>
      </c>
      <c r="C33" t="s">
        <v>11</v>
      </c>
      <c r="D33" t="s">
        <v>12</v>
      </c>
      <c r="E33" t="s">
        <v>23</v>
      </c>
      <c r="F33" t="s">
        <v>40</v>
      </c>
      <c r="G33" s="2">
        <v>44410</v>
      </c>
      <c r="H33">
        <v>10</v>
      </c>
      <c r="I33" s="3">
        <v>0.15</v>
      </c>
      <c r="J33" s="2">
        <v>3506.32</v>
      </c>
    </row>
    <row r="34" spans="1:10" x14ac:dyDescent="0.35">
      <c r="A34" t="s">
        <v>59</v>
      </c>
      <c r="B34" s="1">
        <v>45525</v>
      </c>
      <c r="C34" t="s">
        <v>11</v>
      </c>
      <c r="D34" t="s">
        <v>22</v>
      </c>
      <c r="E34" t="s">
        <v>18</v>
      </c>
      <c r="F34" t="s">
        <v>31</v>
      </c>
      <c r="G34" s="2">
        <v>57267</v>
      </c>
      <c r="H34">
        <v>6</v>
      </c>
      <c r="I34" s="3">
        <v>0</v>
      </c>
      <c r="J34" s="2">
        <v>9153.17</v>
      </c>
    </row>
    <row r="35" spans="1:10" x14ac:dyDescent="0.35">
      <c r="A35" t="s">
        <v>60</v>
      </c>
      <c r="B35" s="1">
        <v>45541</v>
      </c>
      <c r="C35" t="s">
        <v>21</v>
      </c>
      <c r="D35" t="s">
        <v>12</v>
      </c>
      <c r="E35" t="s">
        <v>23</v>
      </c>
      <c r="F35" t="s">
        <v>19</v>
      </c>
      <c r="G35" s="2">
        <v>89665</v>
      </c>
      <c r="H35">
        <v>3</v>
      </c>
      <c r="I35" s="3">
        <v>0</v>
      </c>
      <c r="J35" s="2">
        <v>8481.81</v>
      </c>
    </row>
    <row r="36" spans="1:10" x14ac:dyDescent="0.35">
      <c r="A36" t="s">
        <v>61</v>
      </c>
      <c r="B36" s="1">
        <v>45386</v>
      </c>
      <c r="C36" t="s">
        <v>11</v>
      </c>
      <c r="D36" t="s">
        <v>22</v>
      </c>
      <c r="E36" t="s">
        <v>23</v>
      </c>
      <c r="F36" t="s">
        <v>31</v>
      </c>
      <c r="G36" s="2">
        <v>104159</v>
      </c>
      <c r="H36">
        <v>1</v>
      </c>
      <c r="I36" s="3">
        <v>0.05</v>
      </c>
      <c r="J36" s="2">
        <v>15369.6</v>
      </c>
    </row>
    <row r="37" spans="1:10" x14ac:dyDescent="0.35">
      <c r="A37" t="s">
        <v>62</v>
      </c>
      <c r="B37" s="1">
        <v>45580</v>
      </c>
      <c r="C37" t="s">
        <v>16</v>
      </c>
      <c r="D37" t="s">
        <v>28</v>
      </c>
      <c r="E37" t="s">
        <v>13</v>
      </c>
      <c r="F37" t="s">
        <v>40</v>
      </c>
      <c r="G37" s="2">
        <v>91912</v>
      </c>
      <c r="H37">
        <v>1</v>
      </c>
      <c r="I37" s="3">
        <v>0.05</v>
      </c>
      <c r="J37" s="2">
        <v>2218.12</v>
      </c>
    </row>
    <row r="38" spans="1:10" x14ac:dyDescent="0.35">
      <c r="A38" t="s">
        <v>63</v>
      </c>
      <c r="B38" s="1">
        <v>45416</v>
      </c>
      <c r="C38" t="s">
        <v>16</v>
      </c>
      <c r="D38" t="s">
        <v>12</v>
      </c>
      <c r="E38" t="s">
        <v>23</v>
      </c>
      <c r="F38" t="s">
        <v>19</v>
      </c>
      <c r="G38" s="2">
        <v>117476</v>
      </c>
      <c r="H38">
        <v>8</v>
      </c>
      <c r="I38" s="3">
        <v>0.1</v>
      </c>
      <c r="J38" s="2">
        <v>16404.53</v>
      </c>
    </row>
    <row r="39" spans="1:10" x14ac:dyDescent="0.35">
      <c r="A39" t="s">
        <v>64</v>
      </c>
      <c r="B39" s="1">
        <v>45371</v>
      </c>
      <c r="C39" t="s">
        <v>21</v>
      </c>
      <c r="D39" t="s">
        <v>22</v>
      </c>
      <c r="E39" t="s">
        <v>18</v>
      </c>
      <c r="F39" t="s">
        <v>24</v>
      </c>
      <c r="G39" s="2">
        <v>120066</v>
      </c>
      <c r="H39">
        <v>1</v>
      </c>
      <c r="I39" s="3">
        <v>0.15</v>
      </c>
      <c r="J39" s="2">
        <v>3794.9</v>
      </c>
    </row>
    <row r="40" spans="1:10" x14ac:dyDescent="0.35">
      <c r="A40" t="s">
        <v>65</v>
      </c>
      <c r="B40" s="1">
        <v>45518</v>
      </c>
      <c r="C40" t="s">
        <v>16</v>
      </c>
      <c r="D40" t="s">
        <v>17</v>
      </c>
      <c r="E40" t="s">
        <v>13</v>
      </c>
      <c r="F40" t="s">
        <v>24</v>
      </c>
      <c r="G40" s="2">
        <v>73668</v>
      </c>
      <c r="H40">
        <v>3</v>
      </c>
      <c r="I40" s="3">
        <v>0.15</v>
      </c>
      <c r="J40" s="2">
        <v>5208.7700000000004</v>
      </c>
    </row>
    <row r="41" spans="1:10" x14ac:dyDescent="0.35">
      <c r="A41" t="s">
        <v>66</v>
      </c>
      <c r="B41" s="1">
        <v>45568</v>
      </c>
      <c r="C41" t="s">
        <v>11</v>
      </c>
      <c r="D41" t="s">
        <v>12</v>
      </c>
      <c r="E41" t="s">
        <v>18</v>
      </c>
      <c r="F41" t="s">
        <v>24</v>
      </c>
      <c r="G41" s="2">
        <v>111516</v>
      </c>
      <c r="H41">
        <v>7</v>
      </c>
      <c r="I41" s="3">
        <v>0</v>
      </c>
      <c r="J41" s="2">
        <v>18040.080000000002</v>
      </c>
    </row>
    <row r="42" spans="1:10" x14ac:dyDescent="0.35">
      <c r="A42" t="s">
        <v>67</v>
      </c>
      <c r="B42" s="1">
        <v>45509</v>
      </c>
      <c r="C42" t="s">
        <v>16</v>
      </c>
      <c r="D42" t="s">
        <v>17</v>
      </c>
      <c r="E42" t="s">
        <v>18</v>
      </c>
      <c r="F42" t="s">
        <v>26</v>
      </c>
      <c r="G42" s="2">
        <v>10898</v>
      </c>
      <c r="H42">
        <v>6</v>
      </c>
      <c r="I42" s="3">
        <v>0.1</v>
      </c>
      <c r="J42" s="2">
        <v>244</v>
      </c>
    </row>
    <row r="43" spans="1:10" x14ac:dyDescent="0.35">
      <c r="A43" t="s">
        <v>68</v>
      </c>
      <c r="B43" s="1">
        <v>45616</v>
      </c>
      <c r="C43" t="s">
        <v>21</v>
      </c>
      <c r="D43" t="s">
        <v>22</v>
      </c>
      <c r="E43" t="s">
        <v>18</v>
      </c>
      <c r="F43" t="s">
        <v>24</v>
      </c>
      <c r="G43" s="2">
        <v>13939</v>
      </c>
      <c r="H43">
        <v>6</v>
      </c>
      <c r="I43" s="3">
        <v>0.05</v>
      </c>
      <c r="J43" s="2">
        <v>2501.15</v>
      </c>
    </row>
    <row r="44" spans="1:10" x14ac:dyDescent="0.35">
      <c r="A44" t="s">
        <v>69</v>
      </c>
      <c r="B44" s="1">
        <v>45338</v>
      </c>
      <c r="C44" t="s">
        <v>11</v>
      </c>
      <c r="D44" t="s">
        <v>22</v>
      </c>
      <c r="E44" t="s">
        <v>18</v>
      </c>
      <c r="F44" t="s">
        <v>24</v>
      </c>
      <c r="G44" s="2">
        <v>17829</v>
      </c>
      <c r="H44">
        <v>2</v>
      </c>
      <c r="I44" s="3">
        <v>0</v>
      </c>
      <c r="J44" s="2">
        <v>2207.2399999999998</v>
      </c>
    </row>
    <row r="45" spans="1:10" x14ac:dyDescent="0.35">
      <c r="A45" t="s">
        <v>70</v>
      </c>
      <c r="B45" s="1">
        <v>45558</v>
      </c>
      <c r="C45" t="s">
        <v>21</v>
      </c>
      <c r="D45" t="s">
        <v>28</v>
      </c>
      <c r="E45" t="s">
        <v>13</v>
      </c>
      <c r="F45" t="s">
        <v>26</v>
      </c>
      <c r="G45" s="2">
        <v>139822</v>
      </c>
      <c r="H45">
        <v>5</v>
      </c>
      <c r="I45" s="3">
        <v>0</v>
      </c>
      <c r="J45" s="2">
        <v>32204.31</v>
      </c>
    </row>
    <row r="46" spans="1:10" x14ac:dyDescent="0.35">
      <c r="A46" t="s">
        <v>71</v>
      </c>
      <c r="B46" s="1">
        <v>45634</v>
      </c>
      <c r="C46" t="s">
        <v>11</v>
      </c>
      <c r="D46" t="s">
        <v>17</v>
      </c>
      <c r="E46" t="s">
        <v>23</v>
      </c>
      <c r="F46" t="s">
        <v>14</v>
      </c>
      <c r="G46" s="2">
        <v>144753</v>
      </c>
      <c r="H46">
        <v>8</v>
      </c>
      <c r="I46" s="3">
        <v>0.15</v>
      </c>
      <c r="J46" s="2">
        <v>3934.12</v>
      </c>
    </row>
    <row r="47" spans="1:10" x14ac:dyDescent="0.35">
      <c r="A47" t="s">
        <v>72</v>
      </c>
      <c r="B47" s="1">
        <v>45388</v>
      </c>
      <c r="C47" t="s">
        <v>21</v>
      </c>
      <c r="D47" t="s">
        <v>22</v>
      </c>
      <c r="E47" t="s">
        <v>23</v>
      </c>
      <c r="F47" t="s">
        <v>26</v>
      </c>
      <c r="G47" s="2">
        <v>15713</v>
      </c>
      <c r="H47">
        <v>4</v>
      </c>
      <c r="I47" s="3">
        <v>0.05</v>
      </c>
      <c r="J47" s="2">
        <v>92.89</v>
      </c>
    </row>
    <row r="48" spans="1:10" x14ac:dyDescent="0.35">
      <c r="A48" t="s">
        <v>73</v>
      </c>
      <c r="B48" s="1">
        <v>45393</v>
      </c>
      <c r="C48" t="s">
        <v>16</v>
      </c>
      <c r="D48" t="s">
        <v>17</v>
      </c>
      <c r="E48" t="s">
        <v>18</v>
      </c>
      <c r="F48" t="s">
        <v>33</v>
      </c>
      <c r="G48" s="2">
        <v>119903</v>
      </c>
      <c r="H48">
        <v>3</v>
      </c>
      <c r="I48" s="3">
        <v>0</v>
      </c>
      <c r="J48" s="2">
        <v>11768.95</v>
      </c>
    </row>
    <row r="49" spans="1:10" x14ac:dyDescent="0.35">
      <c r="A49" t="s">
        <v>74</v>
      </c>
      <c r="B49" s="1">
        <v>45343</v>
      </c>
      <c r="C49" t="s">
        <v>11</v>
      </c>
      <c r="D49" t="s">
        <v>12</v>
      </c>
      <c r="E49" t="s">
        <v>23</v>
      </c>
      <c r="F49" t="s">
        <v>24</v>
      </c>
      <c r="G49" s="2">
        <v>89367</v>
      </c>
      <c r="H49">
        <v>8</v>
      </c>
      <c r="I49" s="3">
        <v>0</v>
      </c>
      <c r="J49" s="2">
        <v>17060.47</v>
      </c>
    </row>
    <row r="50" spans="1:10" x14ac:dyDescent="0.35">
      <c r="A50" t="s">
        <v>75</v>
      </c>
      <c r="B50" s="1">
        <v>45523</v>
      </c>
      <c r="C50" t="s">
        <v>16</v>
      </c>
      <c r="D50" t="s">
        <v>28</v>
      </c>
      <c r="E50" t="s">
        <v>23</v>
      </c>
      <c r="F50" t="s">
        <v>24</v>
      </c>
      <c r="G50" s="2">
        <v>90313</v>
      </c>
      <c r="H50">
        <v>1</v>
      </c>
      <c r="I50" s="3">
        <v>0.15</v>
      </c>
      <c r="J50" s="2">
        <v>-5365.84</v>
      </c>
    </row>
    <row r="51" spans="1:10" x14ac:dyDescent="0.35">
      <c r="A51" t="s">
        <v>76</v>
      </c>
      <c r="B51" s="1">
        <v>45301</v>
      </c>
      <c r="C51" t="s">
        <v>21</v>
      </c>
      <c r="D51" t="s">
        <v>12</v>
      </c>
      <c r="E51" t="s">
        <v>13</v>
      </c>
      <c r="F51" t="s">
        <v>33</v>
      </c>
      <c r="G51" s="2">
        <v>86411</v>
      </c>
      <c r="H51">
        <v>1</v>
      </c>
      <c r="I51" s="3">
        <v>0.15</v>
      </c>
      <c r="J51" s="2">
        <v>1410.61</v>
      </c>
    </row>
    <row r="52" spans="1:10" x14ac:dyDescent="0.35">
      <c r="A52" t="s">
        <v>77</v>
      </c>
      <c r="B52" s="1">
        <v>45327</v>
      </c>
      <c r="C52" t="s">
        <v>21</v>
      </c>
      <c r="D52" t="s">
        <v>12</v>
      </c>
      <c r="E52" t="s">
        <v>23</v>
      </c>
      <c r="F52" t="s">
        <v>19</v>
      </c>
      <c r="G52" s="2">
        <v>82806</v>
      </c>
      <c r="H52">
        <v>9</v>
      </c>
      <c r="I52" s="3">
        <v>0</v>
      </c>
      <c r="J52" s="2">
        <v>16708.05</v>
      </c>
    </row>
    <row r="53" spans="1:10" x14ac:dyDescent="0.35">
      <c r="A53" t="s">
        <v>78</v>
      </c>
      <c r="B53" s="1">
        <v>45649</v>
      </c>
      <c r="C53" t="s">
        <v>11</v>
      </c>
      <c r="D53" t="s">
        <v>28</v>
      </c>
      <c r="E53" t="s">
        <v>13</v>
      </c>
      <c r="F53" t="s">
        <v>19</v>
      </c>
      <c r="G53" s="2">
        <v>112442</v>
      </c>
      <c r="H53">
        <v>7</v>
      </c>
      <c r="I53" s="3">
        <v>0.05</v>
      </c>
      <c r="J53" s="2">
        <v>8874.77</v>
      </c>
    </row>
    <row r="54" spans="1:10" x14ac:dyDescent="0.35">
      <c r="A54" t="s">
        <v>79</v>
      </c>
      <c r="B54" s="1">
        <v>45590</v>
      </c>
      <c r="C54" t="s">
        <v>11</v>
      </c>
      <c r="D54" t="s">
        <v>28</v>
      </c>
      <c r="E54" t="s">
        <v>18</v>
      </c>
      <c r="F54" t="s">
        <v>40</v>
      </c>
      <c r="G54" s="2">
        <v>25161</v>
      </c>
      <c r="H54">
        <v>10</v>
      </c>
      <c r="I54" s="3">
        <v>0.15</v>
      </c>
      <c r="J54" s="2">
        <v>-1949.36</v>
      </c>
    </row>
    <row r="55" spans="1:10" x14ac:dyDescent="0.35">
      <c r="A55" t="s">
        <v>80</v>
      </c>
      <c r="B55" s="1">
        <v>45570</v>
      </c>
      <c r="C55" t="s">
        <v>11</v>
      </c>
      <c r="D55" t="s">
        <v>28</v>
      </c>
      <c r="E55" t="s">
        <v>13</v>
      </c>
      <c r="F55" t="s">
        <v>40</v>
      </c>
      <c r="G55" s="2">
        <v>83527</v>
      </c>
      <c r="H55">
        <v>7</v>
      </c>
      <c r="I55" s="3">
        <v>0.15</v>
      </c>
      <c r="J55" s="2">
        <v>-712.52</v>
      </c>
    </row>
    <row r="56" spans="1:10" x14ac:dyDescent="0.35">
      <c r="A56" t="s">
        <v>81</v>
      </c>
      <c r="B56" s="1">
        <v>45302</v>
      </c>
      <c r="C56" t="s">
        <v>16</v>
      </c>
      <c r="D56" t="s">
        <v>17</v>
      </c>
      <c r="E56" t="s">
        <v>23</v>
      </c>
      <c r="F56" t="s">
        <v>31</v>
      </c>
      <c r="G56" s="2">
        <v>47170</v>
      </c>
      <c r="H56">
        <v>10</v>
      </c>
      <c r="I56" s="3">
        <v>0</v>
      </c>
      <c r="J56" s="2">
        <v>10979.77</v>
      </c>
    </row>
    <row r="57" spans="1:10" x14ac:dyDescent="0.35">
      <c r="A57" t="s">
        <v>82</v>
      </c>
      <c r="B57" s="1">
        <v>45333</v>
      </c>
      <c r="C57" t="s">
        <v>21</v>
      </c>
      <c r="D57" t="s">
        <v>12</v>
      </c>
      <c r="E57" t="s">
        <v>23</v>
      </c>
      <c r="F57" t="s">
        <v>19</v>
      </c>
      <c r="G57" s="2">
        <v>49630</v>
      </c>
      <c r="H57">
        <v>2</v>
      </c>
      <c r="I57" s="3">
        <v>0.05</v>
      </c>
      <c r="J57" s="2">
        <v>6194.32</v>
      </c>
    </row>
    <row r="58" spans="1:10" x14ac:dyDescent="0.35">
      <c r="A58" t="s">
        <v>83</v>
      </c>
      <c r="B58" s="1">
        <v>45399</v>
      </c>
      <c r="C58" t="s">
        <v>11</v>
      </c>
      <c r="D58" t="s">
        <v>22</v>
      </c>
      <c r="E58" t="s">
        <v>13</v>
      </c>
      <c r="F58" t="s">
        <v>24</v>
      </c>
      <c r="G58" s="2">
        <v>140544</v>
      </c>
      <c r="H58">
        <v>6</v>
      </c>
      <c r="I58" s="3">
        <v>0</v>
      </c>
      <c r="J58" s="2">
        <v>19082.95</v>
      </c>
    </row>
    <row r="59" spans="1:10" x14ac:dyDescent="0.35">
      <c r="A59" t="s">
        <v>84</v>
      </c>
      <c r="B59" s="1">
        <v>45391</v>
      </c>
      <c r="C59" t="s">
        <v>16</v>
      </c>
      <c r="D59" t="s">
        <v>17</v>
      </c>
      <c r="E59" t="s">
        <v>18</v>
      </c>
      <c r="F59" t="s">
        <v>40</v>
      </c>
      <c r="G59" s="2">
        <v>66780</v>
      </c>
      <c r="H59">
        <v>8</v>
      </c>
      <c r="I59" s="3">
        <v>0.15</v>
      </c>
      <c r="J59" s="2">
        <v>3153.99</v>
      </c>
    </row>
    <row r="60" spans="1:10" x14ac:dyDescent="0.35">
      <c r="A60" t="s">
        <v>85</v>
      </c>
      <c r="B60" s="1">
        <v>45538</v>
      </c>
      <c r="C60" t="s">
        <v>21</v>
      </c>
      <c r="D60" t="s">
        <v>12</v>
      </c>
      <c r="E60" t="s">
        <v>23</v>
      </c>
      <c r="F60" t="s">
        <v>26</v>
      </c>
      <c r="G60" s="2">
        <v>44433</v>
      </c>
      <c r="H60">
        <v>9</v>
      </c>
      <c r="I60" s="3">
        <v>0.05</v>
      </c>
      <c r="J60" s="2">
        <v>2448.62</v>
      </c>
    </row>
    <row r="61" spans="1:10" x14ac:dyDescent="0.35">
      <c r="A61" t="s">
        <v>86</v>
      </c>
      <c r="B61" s="1">
        <v>45541</v>
      </c>
      <c r="C61" t="s">
        <v>16</v>
      </c>
      <c r="D61" t="s">
        <v>22</v>
      </c>
      <c r="E61" t="s">
        <v>18</v>
      </c>
      <c r="F61" t="s">
        <v>14</v>
      </c>
      <c r="G61" s="2">
        <v>109764</v>
      </c>
      <c r="H61">
        <v>8</v>
      </c>
      <c r="I61" s="3">
        <v>0.05</v>
      </c>
      <c r="J61" s="2">
        <v>10894.08</v>
      </c>
    </row>
    <row r="62" spans="1:10" x14ac:dyDescent="0.35">
      <c r="A62" t="s">
        <v>87</v>
      </c>
      <c r="B62" s="1">
        <v>45643</v>
      </c>
      <c r="C62" t="s">
        <v>11</v>
      </c>
      <c r="D62" t="s">
        <v>12</v>
      </c>
      <c r="E62" t="s">
        <v>13</v>
      </c>
      <c r="F62" t="s">
        <v>19</v>
      </c>
      <c r="G62" s="2">
        <v>116263</v>
      </c>
      <c r="H62">
        <v>2</v>
      </c>
      <c r="I62" s="3">
        <v>0.15</v>
      </c>
      <c r="J62" s="2">
        <v>4822.38</v>
      </c>
    </row>
    <row r="63" spans="1:10" x14ac:dyDescent="0.35">
      <c r="A63" t="s">
        <v>88</v>
      </c>
      <c r="B63" s="1">
        <v>45391</v>
      </c>
      <c r="C63" t="s">
        <v>11</v>
      </c>
      <c r="D63" t="s">
        <v>22</v>
      </c>
      <c r="E63" t="s">
        <v>23</v>
      </c>
      <c r="F63" t="s">
        <v>33</v>
      </c>
      <c r="G63" s="2">
        <v>60670</v>
      </c>
      <c r="H63">
        <v>4</v>
      </c>
      <c r="I63" s="3">
        <v>0.15</v>
      </c>
      <c r="J63" s="2">
        <v>2188.17</v>
      </c>
    </row>
    <row r="64" spans="1:10" x14ac:dyDescent="0.35">
      <c r="A64" t="s">
        <v>89</v>
      </c>
      <c r="B64" s="1">
        <v>45639</v>
      </c>
      <c r="C64" t="s">
        <v>11</v>
      </c>
      <c r="D64" t="s">
        <v>22</v>
      </c>
      <c r="E64" t="s">
        <v>23</v>
      </c>
      <c r="F64" t="s">
        <v>33</v>
      </c>
      <c r="G64" s="2">
        <v>35650</v>
      </c>
      <c r="H64">
        <v>2</v>
      </c>
      <c r="I64" s="3">
        <v>0.1</v>
      </c>
      <c r="J64" s="2">
        <v>-1097.3499999999999</v>
      </c>
    </row>
    <row r="65" spans="1:10" x14ac:dyDescent="0.35">
      <c r="A65" t="s">
        <v>90</v>
      </c>
      <c r="B65" s="1">
        <v>45629</v>
      </c>
      <c r="C65" t="s">
        <v>21</v>
      </c>
      <c r="D65" t="s">
        <v>12</v>
      </c>
      <c r="E65" t="s">
        <v>13</v>
      </c>
      <c r="F65" t="s">
        <v>19</v>
      </c>
      <c r="G65" s="2">
        <v>32167</v>
      </c>
      <c r="H65">
        <v>10</v>
      </c>
      <c r="I65" s="3">
        <v>0.15</v>
      </c>
      <c r="J65" s="2">
        <v>-1540.62</v>
      </c>
    </row>
    <row r="66" spans="1:10" x14ac:dyDescent="0.35">
      <c r="A66" t="s">
        <v>91</v>
      </c>
      <c r="B66" s="1">
        <v>45393</v>
      </c>
      <c r="C66" t="s">
        <v>16</v>
      </c>
      <c r="D66" t="s">
        <v>28</v>
      </c>
      <c r="E66" t="s">
        <v>18</v>
      </c>
      <c r="F66" t="s">
        <v>14</v>
      </c>
      <c r="G66" s="2">
        <v>104767</v>
      </c>
      <c r="H66">
        <v>7</v>
      </c>
      <c r="I66" s="3">
        <v>0</v>
      </c>
      <c r="J66" s="2">
        <v>21999.57</v>
      </c>
    </row>
    <row r="67" spans="1:10" x14ac:dyDescent="0.35">
      <c r="A67" t="s">
        <v>92</v>
      </c>
      <c r="B67" s="1">
        <v>45439</v>
      </c>
      <c r="C67" t="s">
        <v>11</v>
      </c>
      <c r="D67" t="s">
        <v>22</v>
      </c>
      <c r="E67" t="s">
        <v>13</v>
      </c>
      <c r="F67" t="s">
        <v>40</v>
      </c>
      <c r="G67" s="2">
        <v>84778</v>
      </c>
      <c r="H67">
        <v>2</v>
      </c>
      <c r="I67" s="3">
        <v>0.1</v>
      </c>
      <c r="J67" s="2">
        <v>9815.67</v>
      </c>
    </row>
    <row r="68" spans="1:10" x14ac:dyDescent="0.35">
      <c r="A68" t="s">
        <v>93</v>
      </c>
      <c r="B68" s="1">
        <v>45591</v>
      </c>
      <c r="C68" t="s">
        <v>16</v>
      </c>
      <c r="D68" t="s">
        <v>28</v>
      </c>
      <c r="E68" t="s">
        <v>23</v>
      </c>
      <c r="F68" t="s">
        <v>24</v>
      </c>
      <c r="G68" s="2">
        <v>27359</v>
      </c>
      <c r="H68">
        <v>4</v>
      </c>
      <c r="I68" s="3">
        <v>0.05</v>
      </c>
      <c r="J68" s="2">
        <v>1900.64</v>
      </c>
    </row>
    <row r="69" spans="1:10" x14ac:dyDescent="0.35">
      <c r="A69" t="s">
        <v>94</v>
      </c>
      <c r="B69" s="1">
        <v>45549</v>
      </c>
      <c r="C69" t="s">
        <v>16</v>
      </c>
      <c r="D69" t="s">
        <v>12</v>
      </c>
      <c r="E69" t="s">
        <v>18</v>
      </c>
      <c r="F69" t="s">
        <v>33</v>
      </c>
      <c r="G69" s="2">
        <v>36905</v>
      </c>
      <c r="H69">
        <v>6</v>
      </c>
      <c r="I69" s="3">
        <v>0.1</v>
      </c>
      <c r="J69" s="2">
        <v>4301.72</v>
      </c>
    </row>
    <row r="70" spans="1:10" x14ac:dyDescent="0.35">
      <c r="A70" t="s">
        <v>95</v>
      </c>
      <c r="B70" s="1">
        <v>45461</v>
      </c>
      <c r="C70" t="s">
        <v>11</v>
      </c>
      <c r="D70" t="s">
        <v>22</v>
      </c>
      <c r="E70" t="s">
        <v>18</v>
      </c>
      <c r="F70" t="s">
        <v>31</v>
      </c>
      <c r="G70" s="2">
        <v>71663</v>
      </c>
      <c r="H70">
        <v>10</v>
      </c>
      <c r="I70" s="3">
        <v>0.15</v>
      </c>
      <c r="J70" s="2">
        <v>115.12</v>
      </c>
    </row>
    <row r="71" spans="1:10" x14ac:dyDescent="0.35">
      <c r="A71" t="s">
        <v>96</v>
      </c>
      <c r="B71" s="1">
        <v>45384</v>
      </c>
      <c r="C71" t="s">
        <v>21</v>
      </c>
      <c r="D71" t="s">
        <v>17</v>
      </c>
      <c r="E71" t="s">
        <v>13</v>
      </c>
      <c r="F71" t="s">
        <v>33</v>
      </c>
      <c r="G71" s="2">
        <v>15765</v>
      </c>
      <c r="H71">
        <v>7</v>
      </c>
      <c r="I71" s="3">
        <v>0</v>
      </c>
      <c r="J71" s="2">
        <v>1554.88</v>
      </c>
    </row>
    <row r="72" spans="1:10" x14ac:dyDescent="0.35">
      <c r="A72" t="s">
        <v>97</v>
      </c>
      <c r="B72" s="1">
        <v>45353</v>
      </c>
      <c r="C72" t="s">
        <v>11</v>
      </c>
      <c r="D72" t="s">
        <v>28</v>
      </c>
      <c r="E72" t="s">
        <v>23</v>
      </c>
      <c r="F72" t="s">
        <v>14</v>
      </c>
      <c r="G72" s="2">
        <v>72275</v>
      </c>
      <c r="H72">
        <v>9</v>
      </c>
      <c r="I72" s="3">
        <v>0.1</v>
      </c>
      <c r="J72" s="2">
        <v>4119.13</v>
      </c>
    </row>
    <row r="73" spans="1:10" x14ac:dyDescent="0.35">
      <c r="A73" t="s">
        <v>98</v>
      </c>
      <c r="B73" s="1">
        <v>45520</v>
      </c>
      <c r="C73" t="s">
        <v>16</v>
      </c>
      <c r="D73" t="s">
        <v>28</v>
      </c>
      <c r="E73" t="s">
        <v>18</v>
      </c>
      <c r="F73" t="s">
        <v>33</v>
      </c>
      <c r="G73" s="2">
        <v>16967</v>
      </c>
      <c r="H73">
        <v>10</v>
      </c>
      <c r="I73" s="3">
        <v>0.1</v>
      </c>
      <c r="J73" s="2">
        <v>483.98</v>
      </c>
    </row>
    <row r="74" spans="1:10" x14ac:dyDescent="0.35">
      <c r="A74" t="s">
        <v>99</v>
      </c>
      <c r="B74" s="1">
        <v>45513</v>
      </c>
      <c r="C74" t="s">
        <v>11</v>
      </c>
      <c r="D74" t="s">
        <v>17</v>
      </c>
      <c r="E74" t="s">
        <v>18</v>
      </c>
      <c r="F74" t="s">
        <v>19</v>
      </c>
      <c r="G74" s="2">
        <v>92209</v>
      </c>
      <c r="H74">
        <v>3</v>
      </c>
      <c r="I74" s="3">
        <v>0.05</v>
      </c>
      <c r="J74" s="2">
        <v>11374.18</v>
      </c>
    </row>
    <row r="75" spans="1:10" x14ac:dyDescent="0.35">
      <c r="A75" t="s">
        <v>100</v>
      </c>
      <c r="B75" s="1">
        <v>45335</v>
      </c>
      <c r="C75" t="s">
        <v>11</v>
      </c>
      <c r="D75" t="s">
        <v>12</v>
      </c>
      <c r="E75" t="s">
        <v>23</v>
      </c>
      <c r="F75" t="s">
        <v>24</v>
      </c>
      <c r="G75" s="2">
        <v>24804</v>
      </c>
      <c r="H75">
        <v>9</v>
      </c>
      <c r="I75" s="3">
        <v>0</v>
      </c>
      <c r="J75" s="2">
        <v>4227.17</v>
      </c>
    </row>
    <row r="76" spans="1:10" x14ac:dyDescent="0.35">
      <c r="A76" t="s">
        <v>101</v>
      </c>
      <c r="B76" s="1">
        <v>45408</v>
      </c>
      <c r="C76" t="s">
        <v>16</v>
      </c>
      <c r="D76" t="s">
        <v>28</v>
      </c>
      <c r="E76" t="s">
        <v>18</v>
      </c>
      <c r="F76" t="s">
        <v>33</v>
      </c>
      <c r="G76" s="2">
        <v>84184</v>
      </c>
      <c r="H76">
        <v>10</v>
      </c>
      <c r="I76" s="3">
        <v>0</v>
      </c>
      <c r="J76" s="2">
        <v>13963.7</v>
      </c>
    </row>
    <row r="77" spans="1:10" x14ac:dyDescent="0.35">
      <c r="A77" t="s">
        <v>102</v>
      </c>
      <c r="B77" s="1">
        <v>45352</v>
      </c>
      <c r="C77" t="s">
        <v>16</v>
      </c>
      <c r="D77" t="s">
        <v>22</v>
      </c>
      <c r="E77" t="s">
        <v>23</v>
      </c>
      <c r="F77" t="s">
        <v>40</v>
      </c>
      <c r="G77" s="2">
        <v>38391</v>
      </c>
      <c r="H77">
        <v>5</v>
      </c>
      <c r="I77" s="3">
        <v>0.15</v>
      </c>
      <c r="J77" s="2">
        <v>2333.8200000000002</v>
      </c>
    </row>
    <row r="78" spans="1:10" x14ac:dyDescent="0.35">
      <c r="A78" t="s">
        <v>103</v>
      </c>
      <c r="B78" s="1">
        <v>45623</v>
      </c>
      <c r="C78" t="s">
        <v>16</v>
      </c>
      <c r="D78" t="s">
        <v>12</v>
      </c>
      <c r="E78" t="s">
        <v>13</v>
      </c>
      <c r="F78" t="s">
        <v>31</v>
      </c>
      <c r="G78" s="2">
        <v>93237</v>
      </c>
      <c r="H78">
        <v>3</v>
      </c>
      <c r="I78" s="3">
        <v>0</v>
      </c>
      <c r="J78" s="2">
        <v>21320.45</v>
      </c>
    </row>
    <row r="79" spans="1:10" x14ac:dyDescent="0.35">
      <c r="A79" t="s">
        <v>104</v>
      </c>
      <c r="B79" s="1">
        <v>45552</v>
      </c>
      <c r="C79" t="s">
        <v>21</v>
      </c>
      <c r="D79" t="s">
        <v>17</v>
      </c>
      <c r="E79" t="s">
        <v>18</v>
      </c>
      <c r="F79" t="s">
        <v>26</v>
      </c>
      <c r="G79" s="2">
        <v>47578</v>
      </c>
      <c r="H79">
        <v>6</v>
      </c>
      <c r="I79" s="3">
        <v>0.1</v>
      </c>
      <c r="J79" s="2">
        <v>1041.4100000000001</v>
      </c>
    </row>
    <row r="80" spans="1:10" x14ac:dyDescent="0.35">
      <c r="A80" t="s">
        <v>105</v>
      </c>
      <c r="B80" s="1">
        <v>45579</v>
      </c>
      <c r="C80" t="s">
        <v>21</v>
      </c>
      <c r="D80" t="s">
        <v>17</v>
      </c>
      <c r="E80" t="s">
        <v>13</v>
      </c>
      <c r="F80" t="s">
        <v>24</v>
      </c>
      <c r="G80" s="2">
        <v>74106</v>
      </c>
      <c r="H80">
        <v>6</v>
      </c>
      <c r="I80" s="3">
        <v>0.05</v>
      </c>
      <c r="J80" s="2">
        <v>2536.6999999999998</v>
      </c>
    </row>
    <row r="81" spans="1:10" x14ac:dyDescent="0.35">
      <c r="A81" t="s">
        <v>106</v>
      </c>
      <c r="B81" s="1">
        <v>45333</v>
      </c>
      <c r="C81" t="s">
        <v>16</v>
      </c>
      <c r="D81" t="s">
        <v>17</v>
      </c>
      <c r="E81" t="s">
        <v>18</v>
      </c>
      <c r="F81" t="s">
        <v>19</v>
      </c>
      <c r="G81" s="2">
        <v>43668</v>
      </c>
      <c r="H81">
        <v>3</v>
      </c>
      <c r="I81" s="3">
        <v>0.1</v>
      </c>
      <c r="J81" s="2">
        <v>6378.08</v>
      </c>
    </row>
    <row r="82" spans="1:10" x14ac:dyDescent="0.35">
      <c r="A82" t="s">
        <v>107</v>
      </c>
      <c r="B82" s="1">
        <v>45579</v>
      </c>
      <c r="C82" t="s">
        <v>11</v>
      </c>
      <c r="D82" t="s">
        <v>12</v>
      </c>
      <c r="E82" t="s">
        <v>23</v>
      </c>
      <c r="F82" t="s">
        <v>31</v>
      </c>
      <c r="G82" s="2">
        <v>64616</v>
      </c>
      <c r="H82">
        <v>9</v>
      </c>
      <c r="I82" s="3">
        <v>0.1</v>
      </c>
      <c r="J82" s="2">
        <v>-1768.5</v>
      </c>
    </row>
    <row r="83" spans="1:10" x14ac:dyDescent="0.35">
      <c r="A83" t="s">
        <v>108</v>
      </c>
      <c r="B83" s="1">
        <v>45561</v>
      </c>
      <c r="C83" t="s">
        <v>21</v>
      </c>
      <c r="D83" t="s">
        <v>22</v>
      </c>
      <c r="E83" t="s">
        <v>18</v>
      </c>
      <c r="F83" t="s">
        <v>19</v>
      </c>
      <c r="G83" s="2">
        <v>84380</v>
      </c>
      <c r="H83">
        <v>5</v>
      </c>
      <c r="I83" s="3">
        <v>0.05</v>
      </c>
      <c r="J83" s="2">
        <v>9115.7099999999991</v>
      </c>
    </row>
    <row r="84" spans="1:10" x14ac:dyDescent="0.35">
      <c r="A84" t="s">
        <v>109</v>
      </c>
      <c r="B84" s="1">
        <v>45541</v>
      </c>
      <c r="C84" t="s">
        <v>16</v>
      </c>
      <c r="D84" t="s">
        <v>22</v>
      </c>
      <c r="E84" t="s">
        <v>23</v>
      </c>
      <c r="F84" t="s">
        <v>19</v>
      </c>
      <c r="G84" s="2">
        <v>70044</v>
      </c>
      <c r="H84">
        <v>5</v>
      </c>
      <c r="I84" s="3">
        <v>0.1</v>
      </c>
      <c r="J84" s="2">
        <v>2320.37</v>
      </c>
    </row>
    <row r="85" spans="1:10" x14ac:dyDescent="0.35">
      <c r="A85" t="s">
        <v>110</v>
      </c>
      <c r="B85" s="1">
        <v>45599</v>
      </c>
      <c r="C85" t="s">
        <v>11</v>
      </c>
      <c r="D85" t="s">
        <v>12</v>
      </c>
      <c r="E85" t="s">
        <v>18</v>
      </c>
      <c r="F85" t="s">
        <v>40</v>
      </c>
      <c r="G85" s="2">
        <v>90323</v>
      </c>
      <c r="H85">
        <v>5</v>
      </c>
      <c r="I85" s="3">
        <v>0.1</v>
      </c>
      <c r="J85" s="2">
        <v>268.01</v>
      </c>
    </row>
    <row r="86" spans="1:10" x14ac:dyDescent="0.35">
      <c r="A86" t="s">
        <v>111</v>
      </c>
      <c r="B86" s="1">
        <v>45294</v>
      </c>
      <c r="C86" t="s">
        <v>21</v>
      </c>
      <c r="D86" t="s">
        <v>12</v>
      </c>
      <c r="E86" t="s">
        <v>23</v>
      </c>
      <c r="F86" t="s">
        <v>40</v>
      </c>
      <c r="G86" s="2">
        <v>31461</v>
      </c>
      <c r="H86">
        <v>10</v>
      </c>
      <c r="I86" s="3">
        <v>0.1</v>
      </c>
      <c r="J86" s="2">
        <v>3566.59</v>
      </c>
    </row>
    <row r="87" spans="1:10" x14ac:dyDescent="0.35">
      <c r="A87" t="s">
        <v>112</v>
      </c>
      <c r="B87" s="1">
        <v>45414</v>
      </c>
      <c r="C87" t="s">
        <v>21</v>
      </c>
      <c r="D87" t="s">
        <v>22</v>
      </c>
      <c r="E87" t="s">
        <v>18</v>
      </c>
      <c r="F87" t="s">
        <v>19</v>
      </c>
      <c r="G87" s="2">
        <v>8466</v>
      </c>
      <c r="H87">
        <v>3</v>
      </c>
      <c r="I87" s="3">
        <v>0</v>
      </c>
      <c r="J87" s="2">
        <v>1788.86</v>
      </c>
    </row>
    <row r="88" spans="1:10" x14ac:dyDescent="0.35">
      <c r="A88" t="s">
        <v>113</v>
      </c>
      <c r="B88" s="1">
        <v>45489</v>
      </c>
      <c r="C88" t="s">
        <v>16</v>
      </c>
      <c r="D88" t="s">
        <v>22</v>
      </c>
      <c r="E88" t="s">
        <v>13</v>
      </c>
      <c r="F88" t="s">
        <v>26</v>
      </c>
      <c r="G88" s="2">
        <v>33299</v>
      </c>
      <c r="H88">
        <v>1</v>
      </c>
      <c r="I88" s="3">
        <v>0.1</v>
      </c>
      <c r="J88" s="2">
        <v>-370.38</v>
      </c>
    </row>
    <row r="89" spans="1:10" x14ac:dyDescent="0.35">
      <c r="A89" t="s">
        <v>114</v>
      </c>
      <c r="B89" s="1">
        <v>45583</v>
      </c>
      <c r="C89" t="s">
        <v>16</v>
      </c>
      <c r="D89" t="s">
        <v>28</v>
      </c>
      <c r="E89" t="s">
        <v>23</v>
      </c>
      <c r="F89" t="s">
        <v>14</v>
      </c>
      <c r="G89" s="2">
        <v>48150</v>
      </c>
      <c r="H89">
        <v>10</v>
      </c>
      <c r="I89" s="3">
        <v>0</v>
      </c>
      <c r="J89" s="2">
        <v>9289.5499999999993</v>
      </c>
    </row>
    <row r="90" spans="1:10" x14ac:dyDescent="0.35">
      <c r="A90" t="s">
        <v>115</v>
      </c>
      <c r="B90" s="1">
        <v>45376</v>
      </c>
      <c r="C90" t="s">
        <v>16</v>
      </c>
      <c r="D90" t="s">
        <v>17</v>
      </c>
      <c r="E90" t="s">
        <v>13</v>
      </c>
      <c r="F90" t="s">
        <v>40</v>
      </c>
      <c r="G90" s="2">
        <v>18659</v>
      </c>
      <c r="H90">
        <v>2</v>
      </c>
      <c r="I90" s="3">
        <v>0.05</v>
      </c>
      <c r="J90" s="2">
        <v>266.95999999999998</v>
      </c>
    </row>
    <row r="91" spans="1:10" x14ac:dyDescent="0.35">
      <c r="A91" t="s">
        <v>116</v>
      </c>
      <c r="B91" s="1">
        <v>45620</v>
      </c>
      <c r="C91" t="s">
        <v>16</v>
      </c>
      <c r="D91" t="s">
        <v>22</v>
      </c>
      <c r="E91" t="s">
        <v>13</v>
      </c>
      <c r="F91" t="s">
        <v>33</v>
      </c>
      <c r="G91" s="2">
        <v>72893</v>
      </c>
      <c r="H91">
        <v>5</v>
      </c>
      <c r="I91" s="3">
        <v>0.15</v>
      </c>
      <c r="J91" s="2">
        <v>5834.32</v>
      </c>
    </row>
    <row r="92" spans="1:10" x14ac:dyDescent="0.35">
      <c r="A92" t="s">
        <v>117</v>
      </c>
      <c r="B92" s="1">
        <v>45362</v>
      </c>
      <c r="C92" t="s">
        <v>11</v>
      </c>
      <c r="D92" t="s">
        <v>17</v>
      </c>
      <c r="E92" t="s">
        <v>23</v>
      </c>
      <c r="F92" t="s">
        <v>40</v>
      </c>
      <c r="G92" s="2">
        <v>105026</v>
      </c>
      <c r="H92">
        <v>5</v>
      </c>
      <c r="I92" s="3">
        <v>0.15</v>
      </c>
      <c r="J92" s="2">
        <v>5599.96</v>
      </c>
    </row>
    <row r="93" spans="1:10" x14ac:dyDescent="0.35">
      <c r="A93" t="s">
        <v>118</v>
      </c>
      <c r="B93" s="1">
        <v>45559</v>
      </c>
      <c r="C93" t="s">
        <v>16</v>
      </c>
      <c r="D93" t="s">
        <v>12</v>
      </c>
      <c r="E93" t="s">
        <v>18</v>
      </c>
      <c r="F93" t="s">
        <v>33</v>
      </c>
      <c r="G93" s="2">
        <v>105211</v>
      </c>
      <c r="H93">
        <v>9</v>
      </c>
      <c r="I93" s="3">
        <v>0</v>
      </c>
      <c r="J93" s="2">
        <v>8542.7099999999991</v>
      </c>
    </row>
    <row r="94" spans="1:10" x14ac:dyDescent="0.35">
      <c r="A94" t="s">
        <v>119</v>
      </c>
      <c r="B94" s="1">
        <v>45634</v>
      </c>
      <c r="C94" t="s">
        <v>21</v>
      </c>
      <c r="D94" t="s">
        <v>17</v>
      </c>
      <c r="E94" t="s">
        <v>18</v>
      </c>
      <c r="F94" t="s">
        <v>14</v>
      </c>
      <c r="G94" s="2">
        <v>120122</v>
      </c>
      <c r="H94">
        <v>8</v>
      </c>
      <c r="I94" s="3">
        <v>0.15</v>
      </c>
      <c r="J94" s="2">
        <v>364.81</v>
      </c>
    </row>
    <row r="95" spans="1:10" x14ac:dyDescent="0.35">
      <c r="A95" t="s">
        <v>120</v>
      </c>
      <c r="B95" s="1">
        <v>45491</v>
      </c>
      <c r="C95" t="s">
        <v>16</v>
      </c>
      <c r="D95" t="s">
        <v>28</v>
      </c>
      <c r="E95" t="s">
        <v>18</v>
      </c>
      <c r="F95" t="s">
        <v>33</v>
      </c>
      <c r="G95" s="2">
        <v>133759</v>
      </c>
      <c r="H95">
        <v>7</v>
      </c>
      <c r="I95" s="3">
        <v>0</v>
      </c>
      <c r="J95" s="2">
        <v>12216.15</v>
      </c>
    </row>
    <row r="96" spans="1:10" x14ac:dyDescent="0.35">
      <c r="A96" t="s">
        <v>121</v>
      </c>
      <c r="B96" s="1">
        <v>45358</v>
      </c>
      <c r="C96" t="s">
        <v>21</v>
      </c>
      <c r="D96" t="s">
        <v>17</v>
      </c>
      <c r="E96" t="s">
        <v>23</v>
      </c>
      <c r="F96" t="s">
        <v>24</v>
      </c>
      <c r="G96" s="2">
        <v>42233</v>
      </c>
      <c r="H96">
        <v>6</v>
      </c>
      <c r="I96" s="3">
        <v>0.05</v>
      </c>
      <c r="J96" s="2">
        <v>2826.8</v>
      </c>
    </row>
    <row r="97" spans="1:10" x14ac:dyDescent="0.35">
      <c r="A97" t="s">
        <v>122</v>
      </c>
      <c r="B97" s="1">
        <v>45553</v>
      </c>
      <c r="C97" t="s">
        <v>21</v>
      </c>
      <c r="D97" t="s">
        <v>22</v>
      </c>
      <c r="E97" t="s">
        <v>13</v>
      </c>
      <c r="F97" t="s">
        <v>14</v>
      </c>
      <c r="G97" s="2">
        <v>71511</v>
      </c>
      <c r="H97">
        <v>4</v>
      </c>
      <c r="I97" s="3">
        <v>0.05</v>
      </c>
      <c r="J97" s="2">
        <v>13504.09</v>
      </c>
    </row>
    <row r="98" spans="1:10" x14ac:dyDescent="0.35">
      <c r="A98" t="s">
        <v>123</v>
      </c>
      <c r="B98" s="1">
        <v>45444</v>
      </c>
      <c r="C98" t="s">
        <v>16</v>
      </c>
      <c r="D98" t="s">
        <v>12</v>
      </c>
      <c r="E98" t="s">
        <v>13</v>
      </c>
      <c r="F98" t="s">
        <v>31</v>
      </c>
      <c r="G98" s="2">
        <v>92701</v>
      </c>
      <c r="H98">
        <v>3</v>
      </c>
      <c r="I98" s="3">
        <v>0.1</v>
      </c>
      <c r="J98" s="2">
        <v>7134.83</v>
      </c>
    </row>
    <row r="99" spans="1:10" x14ac:dyDescent="0.35">
      <c r="A99" t="s">
        <v>124</v>
      </c>
      <c r="B99" s="1">
        <v>45316</v>
      </c>
      <c r="C99" t="s">
        <v>16</v>
      </c>
      <c r="D99" t="s">
        <v>12</v>
      </c>
      <c r="E99" t="s">
        <v>13</v>
      </c>
      <c r="F99" t="s">
        <v>33</v>
      </c>
      <c r="G99" s="2">
        <v>70144</v>
      </c>
      <c r="H99">
        <v>9</v>
      </c>
      <c r="I99" s="3">
        <v>0.05</v>
      </c>
      <c r="J99" s="2">
        <v>818.18</v>
      </c>
    </row>
    <row r="100" spans="1:10" x14ac:dyDescent="0.35">
      <c r="A100" t="s">
        <v>125</v>
      </c>
      <c r="B100" s="1">
        <v>45619</v>
      </c>
      <c r="C100" t="s">
        <v>21</v>
      </c>
      <c r="D100" t="s">
        <v>28</v>
      </c>
      <c r="E100" t="s">
        <v>18</v>
      </c>
      <c r="F100" t="s">
        <v>26</v>
      </c>
      <c r="G100" s="2">
        <v>34621</v>
      </c>
      <c r="H100">
        <v>3</v>
      </c>
      <c r="I100" s="3">
        <v>0.05</v>
      </c>
      <c r="J100" s="2">
        <v>4229.45</v>
      </c>
    </row>
    <row r="101" spans="1:10" x14ac:dyDescent="0.35">
      <c r="A101" t="s">
        <v>126</v>
      </c>
      <c r="B101" s="1">
        <v>45509</v>
      </c>
      <c r="C101" t="s">
        <v>21</v>
      </c>
      <c r="D101" t="s">
        <v>12</v>
      </c>
      <c r="E101" t="s">
        <v>18</v>
      </c>
      <c r="F101" t="s">
        <v>24</v>
      </c>
      <c r="G101" s="2">
        <v>133923</v>
      </c>
      <c r="H101">
        <v>7</v>
      </c>
      <c r="I101" s="3">
        <v>0</v>
      </c>
      <c r="J101" s="2">
        <v>26814.17</v>
      </c>
    </row>
    <row r="102" spans="1:10" x14ac:dyDescent="0.35">
      <c r="A102" t="s">
        <v>127</v>
      </c>
      <c r="B102" s="1">
        <v>45543</v>
      </c>
      <c r="C102" t="s">
        <v>11</v>
      </c>
      <c r="D102" t="s">
        <v>17</v>
      </c>
      <c r="E102" t="s">
        <v>18</v>
      </c>
      <c r="F102" t="s">
        <v>31</v>
      </c>
      <c r="G102" s="2">
        <v>33617</v>
      </c>
      <c r="H102">
        <v>3</v>
      </c>
      <c r="I102" s="3">
        <v>0</v>
      </c>
      <c r="J102" s="2">
        <v>7462.22</v>
      </c>
    </row>
    <row r="103" spans="1:10" x14ac:dyDescent="0.35">
      <c r="A103" t="s">
        <v>128</v>
      </c>
      <c r="B103" s="1">
        <v>45409</v>
      </c>
      <c r="C103" t="s">
        <v>16</v>
      </c>
      <c r="D103" t="s">
        <v>17</v>
      </c>
      <c r="E103" t="s">
        <v>13</v>
      </c>
      <c r="F103" t="s">
        <v>14</v>
      </c>
      <c r="G103" s="2">
        <v>98855</v>
      </c>
      <c r="H103">
        <v>4</v>
      </c>
      <c r="I103" s="3">
        <v>0</v>
      </c>
      <c r="J103" s="2">
        <v>14897.82</v>
      </c>
    </row>
    <row r="104" spans="1:10" x14ac:dyDescent="0.35">
      <c r="A104" t="s">
        <v>129</v>
      </c>
      <c r="B104" s="1">
        <v>45481</v>
      </c>
      <c r="C104" t="s">
        <v>16</v>
      </c>
      <c r="D104" t="s">
        <v>22</v>
      </c>
      <c r="E104" t="s">
        <v>13</v>
      </c>
      <c r="F104" t="s">
        <v>40</v>
      </c>
      <c r="G104" s="2">
        <v>65340</v>
      </c>
      <c r="H104">
        <v>1</v>
      </c>
      <c r="I104" s="3">
        <v>0.1</v>
      </c>
      <c r="J104" s="2">
        <v>1345.57</v>
      </c>
    </row>
    <row r="105" spans="1:10" x14ac:dyDescent="0.35">
      <c r="A105" t="s">
        <v>130</v>
      </c>
      <c r="B105" s="1">
        <v>45620</v>
      </c>
      <c r="C105" t="s">
        <v>21</v>
      </c>
      <c r="D105" t="s">
        <v>28</v>
      </c>
      <c r="E105" t="s">
        <v>23</v>
      </c>
      <c r="F105" t="s">
        <v>14</v>
      </c>
      <c r="G105" s="2">
        <v>79099</v>
      </c>
      <c r="H105">
        <v>1</v>
      </c>
      <c r="I105" s="3">
        <v>0.15</v>
      </c>
      <c r="J105" s="2">
        <v>-2657.72</v>
      </c>
    </row>
    <row r="106" spans="1:10" x14ac:dyDescent="0.35">
      <c r="A106" t="s">
        <v>131</v>
      </c>
      <c r="B106" s="1">
        <v>45453</v>
      </c>
      <c r="C106" t="s">
        <v>16</v>
      </c>
      <c r="D106" t="s">
        <v>22</v>
      </c>
      <c r="E106" t="s">
        <v>23</v>
      </c>
      <c r="F106" t="s">
        <v>26</v>
      </c>
      <c r="G106" s="2">
        <v>59745</v>
      </c>
      <c r="H106">
        <v>1</v>
      </c>
      <c r="I106" s="3">
        <v>0.15</v>
      </c>
      <c r="J106" s="2">
        <v>-2032.95</v>
      </c>
    </row>
    <row r="107" spans="1:10" x14ac:dyDescent="0.35">
      <c r="A107" t="s">
        <v>132</v>
      </c>
      <c r="B107" s="1">
        <v>45365</v>
      </c>
      <c r="C107" t="s">
        <v>16</v>
      </c>
      <c r="D107" t="s">
        <v>22</v>
      </c>
      <c r="E107" t="s">
        <v>13</v>
      </c>
      <c r="F107" t="s">
        <v>40</v>
      </c>
      <c r="G107" s="2">
        <v>72455</v>
      </c>
      <c r="H107">
        <v>4</v>
      </c>
      <c r="I107" s="3">
        <v>0</v>
      </c>
      <c r="J107" s="2">
        <v>13119.56</v>
      </c>
    </row>
    <row r="108" spans="1:10" x14ac:dyDescent="0.35">
      <c r="A108" t="s">
        <v>133</v>
      </c>
      <c r="B108" s="1">
        <v>45495</v>
      </c>
      <c r="C108" t="s">
        <v>11</v>
      </c>
      <c r="D108" t="s">
        <v>28</v>
      </c>
      <c r="E108" t="s">
        <v>23</v>
      </c>
      <c r="F108" t="s">
        <v>40</v>
      </c>
      <c r="G108" s="2">
        <v>143478</v>
      </c>
      <c r="H108">
        <v>6</v>
      </c>
      <c r="I108" s="3">
        <v>0.05</v>
      </c>
      <c r="J108" s="2">
        <v>28665.19</v>
      </c>
    </row>
    <row r="109" spans="1:10" x14ac:dyDescent="0.35">
      <c r="A109" t="s">
        <v>134</v>
      </c>
      <c r="B109" s="1">
        <v>45572</v>
      </c>
      <c r="C109" t="s">
        <v>16</v>
      </c>
      <c r="D109" t="s">
        <v>17</v>
      </c>
      <c r="E109" t="s">
        <v>18</v>
      </c>
      <c r="F109" t="s">
        <v>33</v>
      </c>
      <c r="G109" s="2">
        <v>121438</v>
      </c>
      <c r="H109">
        <v>1</v>
      </c>
      <c r="I109" s="3">
        <v>0</v>
      </c>
      <c r="J109" s="2">
        <v>18664.75</v>
      </c>
    </row>
    <row r="110" spans="1:10" x14ac:dyDescent="0.35">
      <c r="A110" t="s">
        <v>135</v>
      </c>
      <c r="B110" s="1">
        <v>45327</v>
      </c>
      <c r="C110" t="s">
        <v>11</v>
      </c>
      <c r="D110" t="s">
        <v>12</v>
      </c>
      <c r="E110" t="s">
        <v>23</v>
      </c>
      <c r="F110" t="s">
        <v>14</v>
      </c>
      <c r="G110" s="2">
        <v>122375</v>
      </c>
      <c r="H110">
        <v>8</v>
      </c>
      <c r="I110" s="3">
        <v>0</v>
      </c>
      <c r="J110" s="2">
        <v>17985.759999999998</v>
      </c>
    </row>
    <row r="111" spans="1:10" x14ac:dyDescent="0.35">
      <c r="A111" t="s">
        <v>136</v>
      </c>
      <c r="B111" s="1">
        <v>45392</v>
      </c>
      <c r="C111" t="s">
        <v>16</v>
      </c>
      <c r="D111" t="s">
        <v>17</v>
      </c>
      <c r="E111" t="s">
        <v>18</v>
      </c>
      <c r="F111" t="s">
        <v>24</v>
      </c>
      <c r="G111" s="2">
        <v>21376</v>
      </c>
      <c r="H111">
        <v>3</v>
      </c>
      <c r="I111" s="3">
        <v>0</v>
      </c>
      <c r="J111" s="2">
        <v>2902.58</v>
      </c>
    </row>
    <row r="112" spans="1:10" x14ac:dyDescent="0.35">
      <c r="A112" t="s">
        <v>137</v>
      </c>
      <c r="B112" s="1">
        <v>45314</v>
      </c>
      <c r="C112" t="s">
        <v>21</v>
      </c>
      <c r="D112" t="s">
        <v>28</v>
      </c>
      <c r="E112" t="s">
        <v>23</v>
      </c>
      <c r="F112" t="s">
        <v>33</v>
      </c>
      <c r="G112" s="2">
        <v>54604</v>
      </c>
      <c r="H112">
        <v>10</v>
      </c>
      <c r="I112" s="3">
        <v>0.05</v>
      </c>
      <c r="J112" s="2">
        <v>4245.24</v>
      </c>
    </row>
    <row r="113" spans="1:10" x14ac:dyDescent="0.35">
      <c r="A113" t="s">
        <v>138</v>
      </c>
      <c r="B113" s="1">
        <v>45561</v>
      </c>
      <c r="C113" t="s">
        <v>21</v>
      </c>
      <c r="D113" t="s">
        <v>12</v>
      </c>
      <c r="E113" t="s">
        <v>13</v>
      </c>
      <c r="F113" t="s">
        <v>19</v>
      </c>
      <c r="G113" s="2">
        <v>66423</v>
      </c>
      <c r="H113">
        <v>2</v>
      </c>
      <c r="I113" s="3">
        <v>0.05</v>
      </c>
      <c r="J113" s="2">
        <v>11760.91</v>
      </c>
    </row>
    <row r="114" spans="1:10" x14ac:dyDescent="0.35">
      <c r="A114" t="s">
        <v>139</v>
      </c>
      <c r="B114" s="1">
        <v>45465</v>
      </c>
      <c r="C114" t="s">
        <v>21</v>
      </c>
      <c r="D114" t="s">
        <v>12</v>
      </c>
      <c r="E114" t="s">
        <v>18</v>
      </c>
      <c r="F114" t="s">
        <v>31</v>
      </c>
      <c r="G114" s="2">
        <v>134123</v>
      </c>
      <c r="H114">
        <v>1</v>
      </c>
      <c r="I114" s="3">
        <v>0</v>
      </c>
      <c r="J114" s="2">
        <v>19007.810000000001</v>
      </c>
    </row>
    <row r="115" spans="1:10" x14ac:dyDescent="0.35">
      <c r="A115" t="s">
        <v>140</v>
      </c>
      <c r="B115" s="1">
        <v>45367</v>
      </c>
      <c r="C115" t="s">
        <v>11</v>
      </c>
      <c r="D115" t="s">
        <v>12</v>
      </c>
      <c r="E115" t="s">
        <v>13</v>
      </c>
      <c r="F115" t="s">
        <v>33</v>
      </c>
      <c r="G115" s="2">
        <v>119648</v>
      </c>
      <c r="H115">
        <v>5</v>
      </c>
      <c r="I115" s="3">
        <v>0.1</v>
      </c>
      <c r="J115" s="2">
        <v>9462.81</v>
      </c>
    </row>
    <row r="116" spans="1:10" x14ac:dyDescent="0.35">
      <c r="A116" t="s">
        <v>141</v>
      </c>
      <c r="B116" s="1">
        <v>45325</v>
      </c>
      <c r="C116" t="s">
        <v>16</v>
      </c>
      <c r="D116" t="s">
        <v>22</v>
      </c>
      <c r="E116" t="s">
        <v>23</v>
      </c>
      <c r="F116" t="s">
        <v>33</v>
      </c>
      <c r="G116" s="2">
        <v>49476</v>
      </c>
      <c r="H116">
        <v>8</v>
      </c>
      <c r="I116" s="3">
        <v>0</v>
      </c>
      <c r="J116" s="2">
        <v>8432.77</v>
      </c>
    </row>
    <row r="117" spans="1:10" x14ac:dyDescent="0.35">
      <c r="A117" t="s">
        <v>142</v>
      </c>
      <c r="B117" s="1">
        <v>45327</v>
      </c>
      <c r="C117" t="s">
        <v>21</v>
      </c>
      <c r="D117" t="s">
        <v>28</v>
      </c>
      <c r="E117" t="s">
        <v>13</v>
      </c>
      <c r="F117" t="s">
        <v>14</v>
      </c>
      <c r="G117" s="2">
        <v>129046</v>
      </c>
      <c r="H117">
        <v>8</v>
      </c>
      <c r="I117" s="3">
        <v>0</v>
      </c>
      <c r="J117" s="2">
        <v>16138.88</v>
      </c>
    </row>
    <row r="118" spans="1:10" x14ac:dyDescent="0.35">
      <c r="A118" t="s">
        <v>143</v>
      </c>
      <c r="B118" s="1">
        <v>45390</v>
      </c>
      <c r="C118" t="s">
        <v>11</v>
      </c>
      <c r="D118" t="s">
        <v>22</v>
      </c>
      <c r="E118" t="s">
        <v>18</v>
      </c>
      <c r="F118" t="s">
        <v>26</v>
      </c>
      <c r="G118" s="2">
        <v>138232</v>
      </c>
      <c r="H118">
        <v>7</v>
      </c>
      <c r="I118" s="3">
        <v>0.05</v>
      </c>
      <c r="J118" s="2">
        <v>24280.16</v>
      </c>
    </row>
    <row r="119" spans="1:10" x14ac:dyDescent="0.35">
      <c r="A119" t="s">
        <v>144</v>
      </c>
      <c r="B119" s="1">
        <v>45409</v>
      </c>
      <c r="C119" t="s">
        <v>16</v>
      </c>
      <c r="D119" t="s">
        <v>28</v>
      </c>
      <c r="E119" t="s">
        <v>23</v>
      </c>
      <c r="F119" t="s">
        <v>14</v>
      </c>
      <c r="G119" s="2">
        <v>60238</v>
      </c>
      <c r="H119">
        <v>3</v>
      </c>
      <c r="I119" s="3">
        <v>0.05</v>
      </c>
      <c r="J119" s="2">
        <v>9942.9</v>
      </c>
    </row>
    <row r="120" spans="1:10" x14ac:dyDescent="0.35">
      <c r="A120" t="s">
        <v>145</v>
      </c>
      <c r="B120" s="1">
        <v>45592</v>
      </c>
      <c r="C120" t="s">
        <v>16</v>
      </c>
      <c r="D120" t="s">
        <v>22</v>
      </c>
      <c r="E120" t="s">
        <v>13</v>
      </c>
      <c r="F120" t="s">
        <v>24</v>
      </c>
      <c r="G120" s="2">
        <v>43003</v>
      </c>
      <c r="H120">
        <v>3</v>
      </c>
      <c r="I120" s="3">
        <v>0.15</v>
      </c>
      <c r="J120" s="2">
        <v>2852.65</v>
      </c>
    </row>
    <row r="121" spans="1:10" x14ac:dyDescent="0.35">
      <c r="A121" t="s">
        <v>146</v>
      </c>
      <c r="B121" s="1">
        <v>45591</v>
      </c>
      <c r="C121" t="s">
        <v>16</v>
      </c>
      <c r="D121" t="s">
        <v>22</v>
      </c>
      <c r="E121" t="s">
        <v>13</v>
      </c>
      <c r="F121" t="s">
        <v>24</v>
      </c>
      <c r="G121" s="2">
        <v>77251</v>
      </c>
      <c r="H121">
        <v>7</v>
      </c>
      <c r="I121" s="3">
        <v>0</v>
      </c>
      <c r="J121" s="2">
        <v>7695.11</v>
      </c>
    </row>
    <row r="122" spans="1:10" x14ac:dyDescent="0.35">
      <c r="A122" t="s">
        <v>147</v>
      </c>
      <c r="B122" s="1">
        <v>45350</v>
      </c>
      <c r="C122" t="s">
        <v>16</v>
      </c>
      <c r="D122" t="s">
        <v>28</v>
      </c>
      <c r="E122" t="s">
        <v>18</v>
      </c>
      <c r="F122" t="s">
        <v>40</v>
      </c>
      <c r="G122" s="2">
        <v>56003</v>
      </c>
      <c r="H122">
        <v>5</v>
      </c>
      <c r="I122" s="3">
        <v>0.1</v>
      </c>
      <c r="J122" s="2">
        <v>2648.2</v>
      </c>
    </row>
    <row r="123" spans="1:10" x14ac:dyDescent="0.35">
      <c r="A123" t="s">
        <v>148</v>
      </c>
      <c r="B123" s="1">
        <v>45487</v>
      </c>
      <c r="C123" t="s">
        <v>16</v>
      </c>
      <c r="D123" t="s">
        <v>22</v>
      </c>
      <c r="E123" t="s">
        <v>18</v>
      </c>
      <c r="F123" t="s">
        <v>31</v>
      </c>
      <c r="G123" s="2">
        <v>7651</v>
      </c>
      <c r="H123">
        <v>8</v>
      </c>
      <c r="I123" s="3">
        <v>0.05</v>
      </c>
      <c r="J123" s="2">
        <v>953.91</v>
      </c>
    </row>
    <row r="124" spans="1:10" x14ac:dyDescent="0.35">
      <c r="A124" t="s">
        <v>149</v>
      </c>
      <c r="B124" s="1">
        <v>45395</v>
      </c>
      <c r="C124" t="s">
        <v>11</v>
      </c>
      <c r="D124" t="s">
        <v>22</v>
      </c>
      <c r="E124" t="s">
        <v>13</v>
      </c>
      <c r="F124" t="s">
        <v>24</v>
      </c>
      <c r="G124" s="2">
        <v>129290</v>
      </c>
      <c r="H124">
        <v>10</v>
      </c>
      <c r="I124" s="3">
        <v>0</v>
      </c>
      <c r="J124" s="2">
        <v>11983.07</v>
      </c>
    </row>
    <row r="125" spans="1:10" x14ac:dyDescent="0.35">
      <c r="A125" t="s">
        <v>150</v>
      </c>
      <c r="B125" s="1">
        <v>45337</v>
      </c>
      <c r="C125" t="s">
        <v>21</v>
      </c>
      <c r="D125" t="s">
        <v>12</v>
      </c>
      <c r="E125" t="s">
        <v>13</v>
      </c>
      <c r="F125" t="s">
        <v>14</v>
      </c>
      <c r="G125" s="2">
        <v>61615</v>
      </c>
      <c r="H125">
        <v>8</v>
      </c>
      <c r="I125" s="3">
        <v>0.05</v>
      </c>
      <c r="J125" s="2">
        <v>11201.05</v>
      </c>
    </row>
    <row r="126" spans="1:10" x14ac:dyDescent="0.35">
      <c r="A126" t="s">
        <v>151</v>
      </c>
      <c r="B126" s="1">
        <v>45447</v>
      </c>
      <c r="C126" t="s">
        <v>21</v>
      </c>
      <c r="D126" t="s">
        <v>28</v>
      </c>
      <c r="E126" t="s">
        <v>18</v>
      </c>
      <c r="F126" t="s">
        <v>33</v>
      </c>
      <c r="G126" s="2">
        <v>90318</v>
      </c>
      <c r="H126">
        <v>8</v>
      </c>
      <c r="I126" s="3">
        <v>0</v>
      </c>
      <c r="J126" s="2">
        <v>17832.25</v>
      </c>
    </row>
    <row r="127" spans="1:10" x14ac:dyDescent="0.35">
      <c r="A127" t="s">
        <v>152</v>
      </c>
      <c r="B127" s="1">
        <v>45600</v>
      </c>
      <c r="C127" t="s">
        <v>11</v>
      </c>
      <c r="D127" t="s">
        <v>28</v>
      </c>
      <c r="E127" t="s">
        <v>23</v>
      </c>
      <c r="F127" t="s">
        <v>24</v>
      </c>
      <c r="G127" s="2">
        <v>9065</v>
      </c>
      <c r="H127">
        <v>10</v>
      </c>
      <c r="I127" s="3">
        <v>0.1</v>
      </c>
      <c r="J127" s="2">
        <v>-347.74</v>
      </c>
    </row>
    <row r="128" spans="1:10" x14ac:dyDescent="0.35">
      <c r="A128" t="s">
        <v>153</v>
      </c>
      <c r="B128" s="1">
        <v>45433</v>
      </c>
      <c r="C128" t="s">
        <v>16</v>
      </c>
      <c r="D128" t="s">
        <v>17</v>
      </c>
      <c r="E128" t="s">
        <v>23</v>
      </c>
      <c r="F128" t="s">
        <v>31</v>
      </c>
      <c r="G128" s="2">
        <v>72989</v>
      </c>
      <c r="H128">
        <v>4</v>
      </c>
      <c r="I128" s="3">
        <v>0.05</v>
      </c>
      <c r="J128" s="2">
        <v>9836.2199999999993</v>
      </c>
    </row>
    <row r="129" spans="1:10" x14ac:dyDescent="0.35">
      <c r="A129" t="s">
        <v>154</v>
      </c>
      <c r="B129" s="1">
        <v>45347</v>
      </c>
      <c r="C129" t="s">
        <v>16</v>
      </c>
      <c r="D129" t="s">
        <v>28</v>
      </c>
      <c r="E129" t="s">
        <v>13</v>
      </c>
      <c r="F129" t="s">
        <v>14</v>
      </c>
      <c r="G129" s="2">
        <v>33621</v>
      </c>
      <c r="H129">
        <v>10</v>
      </c>
      <c r="I129" s="3">
        <v>0</v>
      </c>
      <c r="J129" s="2">
        <v>4567.26</v>
      </c>
    </row>
    <row r="130" spans="1:10" x14ac:dyDescent="0.35">
      <c r="A130" t="s">
        <v>155</v>
      </c>
      <c r="B130" s="1">
        <v>45557</v>
      </c>
      <c r="C130" t="s">
        <v>11</v>
      </c>
      <c r="D130" t="s">
        <v>12</v>
      </c>
      <c r="E130" t="s">
        <v>18</v>
      </c>
      <c r="F130" t="s">
        <v>24</v>
      </c>
      <c r="G130" s="2">
        <v>108918</v>
      </c>
      <c r="H130">
        <v>10</v>
      </c>
      <c r="I130" s="3">
        <v>0.05</v>
      </c>
      <c r="J130" s="2">
        <v>14839.58</v>
      </c>
    </row>
    <row r="131" spans="1:10" x14ac:dyDescent="0.35">
      <c r="A131" t="s">
        <v>156</v>
      </c>
      <c r="B131" s="1">
        <v>45388</v>
      </c>
      <c r="C131" t="s">
        <v>11</v>
      </c>
      <c r="D131" t="s">
        <v>28</v>
      </c>
      <c r="E131" t="s">
        <v>23</v>
      </c>
      <c r="F131" t="s">
        <v>31</v>
      </c>
      <c r="G131" s="2">
        <v>131793</v>
      </c>
      <c r="H131">
        <v>5</v>
      </c>
      <c r="I131" s="3">
        <v>0.05</v>
      </c>
      <c r="J131" s="2">
        <v>11162.47</v>
      </c>
    </row>
    <row r="132" spans="1:10" x14ac:dyDescent="0.35">
      <c r="A132" t="s">
        <v>157</v>
      </c>
      <c r="B132" s="1">
        <v>45370</v>
      </c>
      <c r="C132" t="s">
        <v>21</v>
      </c>
      <c r="D132" t="s">
        <v>17</v>
      </c>
      <c r="E132" t="s">
        <v>23</v>
      </c>
      <c r="F132" t="s">
        <v>19</v>
      </c>
      <c r="G132" s="2">
        <v>84884</v>
      </c>
      <c r="H132">
        <v>5</v>
      </c>
      <c r="I132" s="3">
        <v>0</v>
      </c>
      <c r="J132" s="2">
        <v>7962.77</v>
      </c>
    </row>
    <row r="133" spans="1:10" x14ac:dyDescent="0.35">
      <c r="A133" t="s">
        <v>158</v>
      </c>
      <c r="B133" s="1">
        <v>45531</v>
      </c>
      <c r="C133" t="s">
        <v>11</v>
      </c>
      <c r="D133" t="s">
        <v>12</v>
      </c>
      <c r="E133" t="s">
        <v>13</v>
      </c>
      <c r="F133" t="s">
        <v>40</v>
      </c>
      <c r="G133" s="2">
        <v>124125</v>
      </c>
      <c r="H133">
        <v>6</v>
      </c>
      <c r="I133" s="3">
        <v>0.1</v>
      </c>
      <c r="J133" s="2">
        <v>-2549.96</v>
      </c>
    </row>
    <row r="134" spans="1:10" x14ac:dyDescent="0.35">
      <c r="A134" t="s">
        <v>159</v>
      </c>
      <c r="B134" s="1">
        <v>45401</v>
      </c>
      <c r="C134" t="s">
        <v>16</v>
      </c>
      <c r="D134" t="s">
        <v>22</v>
      </c>
      <c r="E134" t="s">
        <v>18</v>
      </c>
      <c r="F134" t="s">
        <v>40</v>
      </c>
      <c r="G134" s="2">
        <v>5452</v>
      </c>
      <c r="H134">
        <v>2</v>
      </c>
      <c r="I134" s="3">
        <v>0.15</v>
      </c>
      <c r="J134" s="2">
        <v>-322.57</v>
      </c>
    </row>
    <row r="135" spans="1:10" x14ac:dyDescent="0.35">
      <c r="A135" t="s">
        <v>160</v>
      </c>
      <c r="B135" s="1">
        <v>45384</v>
      </c>
      <c r="C135" t="s">
        <v>16</v>
      </c>
      <c r="D135" t="s">
        <v>17</v>
      </c>
      <c r="E135" t="s">
        <v>18</v>
      </c>
      <c r="F135" t="s">
        <v>33</v>
      </c>
      <c r="G135" s="2">
        <v>41352</v>
      </c>
      <c r="H135">
        <v>7</v>
      </c>
      <c r="I135" s="3">
        <v>0</v>
      </c>
      <c r="J135" s="2">
        <v>10183.44</v>
      </c>
    </row>
    <row r="136" spans="1:10" x14ac:dyDescent="0.35">
      <c r="A136" t="s">
        <v>161</v>
      </c>
      <c r="B136" s="1">
        <v>45526</v>
      </c>
      <c r="C136" t="s">
        <v>21</v>
      </c>
      <c r="D136" t="s">
        <v>17</v>
      </c>
      <c r="E136" t="s">
        <v>23</v>
      </c>
      <c r="F136" t="s">
        <v>14</v>
      </c>
      <c r="G136" s="2">
        <v>44228</v>
      </c>
      <c r="H136">
        <v>8</v>
      </c>
      <c r="I136" s="3">
        <v>0.15</v>
      </c>
      <c r="J136" s="2">
        <v>1896.93</v>
      </c>
    </row>
    <row r="137" spans="1:10" x14ac:dyDescent="0.35">
      <c r="A137" t="s">
        <v>162</v>
      </c>
      <c r="B137" s="1">
        <v>45335</v>
      </c>
      <c r="C137" t="s">
        <v>16</v>
      </c>
      <c r="D137" t="s">
        <v>17</v>
      </c>
      <c r="E137" t="s">
        <v>18</v>
      </c>
      <c r="F137" t="s">
        <v>26</v>
      </c>
      <c r="G137" s="2">
        <v>80135</v>
      </c>
      <c r="H137">
        <v>1</v>
      </c>
      <c r="I137" s="3">
        <v>0.05</v>
      </c>
      <c r="J137" s="2">
        <v>4565.8900000000003</v>
      </c>
    </row>
    <row r="138" spans="1:10" x14ac:dyDescent="0.35">
      <c r="A138" t="s">
        <v>163</v>
      </c>
      <c r="B138" s="1">
        <v>45327</v>
      </c>
      <c r="C138" t="s">
        <v>11</v>
      </c>
      <c r="D138" t="s">
        <v>28</v>
      </c>
      <c r="E138" t="s">
        <v>23</v>
      </c>
      <c r="F138" t="s">
        <v>26</v>
      </c>
      <c r="G138" s="2">
        <v>57888</v>
      </c>
      <c r="H138">
        <v>1</v>
      </c>
      <c r="I138" s="3">
        <v>0</v>
      </c>
      <c r="J138" s="2">
        <v>11475.15</v>
      </c>
    </row>
    <row r="139" spans="1:10" x14ac:dyDescent="0.35">
      <c r="A139" t="s">
        <v>164</v>
      </c>
      <c r="B139" s="1">
        <v>45611</v>
      </c>
      <c r="C139" t="s">
        <v>16</v>
      </c>
      <c r="D139" t="s">
        <v>28</v>
      </c>
      <c r="E139" t="s">
        <v>18</v>
      </c>
      <c r="F139" t="s">
        <v>40</v>
      </c>
      <c r="G139" s="2">
        <v>119869</v>
      </c>
      <c r="H139">
        <v>6</v>
      </c>
      <c r="I139" s="3">
        <v>0.05</v>
      </c>
      <c r="J139" s="2">
        <v>3949.46</v>
      </c>
    </row>
    <row r="140" spans="1:10" x14ac:dyDescent="0.35">
      <c r="A140" t="s">
        <v>165</v>
      </c>
      <c r="B140" s="1">
        <v>45567</v>
      </c>
      <c r="C140" t="s">
        <v>16</v>
      </c>
      <c r="D140" t="s">
        <v>17</v>
      </c>
      <c r="E140" t="s">
        <v>23</v>
      </c>
      <c r="F140" t="s">
        <v>26</v>
      </c>
      <c r="G140" s="2">
        <v>34920</v>
      </c>
      <c r="H140">
        <v>6</v>
      </c>
      <c r="I140" s="3">
        <v>0.15</v>
      </c>
      <c r="J140" s="2">
        <v>2397.79</v>
      </c>
    </row>
    <row r="141" spans="1:10" x14ac:dyDescent="0.35">
      <c r="A141" t="s">
        <v>166</v>
      </c>
      <c r="B141" s="1">
        <v>45327</v>
      </c>
      <c r="C141" t="s">
        <v>16</v>
      </c>
      <c r="D141" t="s">
        <v>17</v>
      </c>
      <c r="E141" t="s">
        <v>18</v>
      </c>
      <c r="F141" t="s">
        <v>19</v>
      </c>
      <c r="G141" s="2">
        <v>50099</v>
      </c>
      <c r="H141">
        <v>8</v>
      </c>
      <c r="I141" s="3">
        <v>0.15</v>
      </c>
      <c r="J141" s="2">
        <v>-3855.05</v>
      </c>
    </row>
    <row r="142" spans="1:10" x14ac:dyDescent="0.35">
      <c r="A142" t="s">
        <v>167</v>
      </c>
      <c r="B142" s="1">
        <v>45418</v>
      </c>
      <c r="C142" t="s">
        <v>16</v>
      </c>
      <c r="D142" t="s">
        <v>17</v>
      </c>
      <c r="E142" t="s">
        <v>23</v>
      </c>
      <c r="F142" t="s">
        <v>14</v>
      </c>
      <c r="G142" s="2">
        <v>78755</v>
      </c>
      <c r="H142">
        <v>3</v>
      </c>
      <c r="I142" s="3">
        <v>0</v>
      </c>
      <c r="J142" s="2">
        <v>11255.44</v>
      </c>
    </row>
    <row r="143" spans="1:10" x14ac:dyDescent="0.35">
      <c r="A143" t="s">
        <v>168</v>
      </c>
      <c r="B143" s="1">
        <v>45496</v>
      </c>
      <c r="C143" t="s">
        <v>21</v>
      </c>
      <c r="D143" t="s">
        <v>22</v>
      </c>
      <c r="E143" t="s">
        <v>13</v>
      </c>
      <c r="F143" t="s">
        <v>19</v>
      </c>
      <c r="G143" s="2">
        <v>115232</v>
      </c>
      <c r="H143">
        <v>6</v>
      </c>
      <c r="I143" s="3">
        <v>0.05</v>
      </c>
      <c r="J143" s="2">
        <v>1102.99</v>
      </c>
    </row>
    <row r="144" spans="1:10" x14ac:dyDescent="0.35">
      <c r="A144" t="s">
        <v>169</v>
      </c>
      <c r="B144" s="1">
        <v>45433</v>
      </c>
      <c r="C144" t="s">
        <v>21</v>
      </c>
      <c r="D144" t="s">
        <v>28</v>
      </c>
      <c r="E144" t="s">
        <v>18</v>
      </c>
      <c r="F144" t="s">
        <v>31</v>
      </c>
      <c r="G144" s="2">
        <v>124941</v>
      </c>
      <c r="H144">
        <v>9</v>
      </c>
      <c r="I144" s="3">
        <v>0.15</v>
      </c>
      <c r="J144" s="2">
        <v>10356.780000000001</v>
      </c>
    </row>
    <row r="145" spans="1:10" x14ac:dyDescent="0.35">
      <c r="A145" t="s">
        <v>170</v>
      </c>
      <c r="B145" s="1">
        <v>45507</v>
      </c>
      <c r="C145" t="s">
        <v>11</v>
      </c>
      <c r="D145" t="s">
        <v>12</v>
      </c>
      <c r="E145" t="s">
        <v>13</v>
      </c>
      <c r="F145" t="s">
        <v>31</v>
      </c>
      <c r="G145" s="2">
        <v>135177</v>
      </c>
      <c r="H145">
        <v>2</v>
      </c>
      <c r="I145" s="3">
        <v>0.05</v>
      </c>
      <c r="J145" s="2">
        <v>4278.21</v>
      </c>
    </row>
    <row r="146" spans="1:10" x14ac:dyDescent="0.35">
      <c r="A146" t="s">
        <v>171</v>
      </c>
      <c r="B146" s="1">
        <v>45580</v>
      </c>
      <c r="C146" t="s">
        <v>16</v>
      </c>
      <c r="D146" t="s">
        <v>17</v>
      </c>
      <c r="E146" t="s">
        <v>18</v>
      </c>
      <c r="F146" t="s">
        <v>24</v>
      </c>
      <c r="G146" s="2">
        <v>115006</v>
      </c>
      <c r="H146">
        <v>6</v>
      </c>
      <c r="I146" s="3">
        <v>0.05</v>
      </c>
      <c r="J146" s="2">
        <v>10836.49</v>
      </c>
    </row>
    <row r="147" spans="1:10" x14ac:dyDescent="0.35">
      <c r="A147" t="s">
        <v>172</v>
      </c>
      <c r="B147" s="1">
        <v>45457</v>
      </c>
      <c r="C147" t="s">
        <v>16</v>
      </c>
      <c r="D147" t="s">
        <v>17</v>
      </c>
      <c r="E147" t="s">
        <v>23</v>
      </c>
      <c r="F147" t="s">
        <v>26</v>
      </c>
      <c r="G147" s="2">
        <v>65102</v>
      </c>
      <c r="H147">
        <v>1</v>
      </c>
      <c r="I147" s="3">
        <v>0</v>
      </c>
      <c r="J147" s="2">
        <v>15205.72</v>
      </c>
    </row>
    <row r="148" spans="1:10" x14ac:dyDescent="0.35">
      <c r="A148" t="s">
        <v>173</v>
      </c>
      <c r="B148" s="1">
        <v>45587</v>
      </c>
      <c r="C148" t="s">
        <v>11</v>
      </c>
      <c r="D148" t="s">
        <v>28</v>
      </c>
      <c r="E148" t="s">
        <v>18</v>
      </c>
      <c r="F148" t="s">
        <v>31</v>
      </c>
      <c r="G148" s="2">
        <v>142350</v>
      </c>
      <c r="H148">
        <v>8</v>
      </c>
      <c r="I148" s="3">
        <v>0.15</v>
      </c>
      <c r="J148" s="2">
        <v>1869.14</v>
      </c>
    </row>
    <row r="149" spans="1:10" x14ac:dyDescent="0.35">
      <c r="A149" t="s">
        <v>174</v>
      </c>
      <c r="B149" s="1">
        <v>45488</v>
      </c>
      <c r="C149" t="s">
        <v>11</v>
      </c>
      <c r="D149" t="s">
        <v>12</v>
      </c>
      <c r="E149" t="s">
        <v>13</v>
      </c>
      <c r="F149" t="s">
        <v>40</v>
      </c>
      <c r="G149" s="2">
        <v>14683</v>
      </c>
      <c r="H149">
        <v>7</v>
      </c>
      <c r="I149" s="3">
        <v>0.1</v>
      </c>
      <c r="J149" s="2">
        <v>-365.29</v>
      </c>
    </row>
    <row r="150" spans="1:10" x14ac:dyDescent="0.35">
      <c r="A150" t="s">
        <v>175</v>
      </c>
      <c r="B150" s="1">
        <v>45624</v>
      </c>
      <c r="C150" t="s">
        <v>16</v>
      </c>
      <c r="D150" t="s">
        <v>12</v>
      </c>
      <c r="E150" t="s">
        <v>13</v>
      </c>
      <c r="F150" t="s">
        <v>26</v>
      </c>
      <c r="G150" s="2">
        <v>109040</v>
      </c>
      <c r="H150">
        <v>3</v>
      </c>
      <c r="I150" s="3">
        <v>0</v>
      </c>
      <c r="J150" s="2">
        <v>20017</v>
      </c>
    </row>
    <row r="151" spans="1:10" x14ac:dyDescent="0.35">
      <c r="A151" t="s">
        <v>176</v>
      </c>
      <c r="B151" s="1">
        <v>45514</v>
      </c>
      <c r="C151" t="s">
        <v>21</v>
      </c>
      <c r="D151" t="s">
        <v>17</v>
      </c>
      <c r="E151" t="s">
        <v>18</v>
      </c>
      <c r="F151" t="s">
        <v>14</v>
      </c>
      <c r="G151" s="2">
        <v>115497</v>
      </c>
      <c r="H151">
        <v>4</v>
      </c>
      <c r="I151" s="3">
        <v>0.1</v>
      </c>
      <c r="J151" s="2">
        <v>-484.72</v>
      </c>
    </row>
    <row r="152" spans="1:10" x14ac:dyDescent="0.35">
      <c r="A152" t="s">
        <v>177</v>
      </c>
      <c r="B152" s="1">
        <v>45341</v>
      </c>
      <c r="C152" t="s">
        <v>21</v>
      </c>
      <c r="D152" t="s">
        <v>12</v>
      </c>
      <c r="E152" t="s">
        <v>13</v>
      </c>
      <c r="F152" t="s">
        <v>19</v>
      </c>
      <c r="G152" s="2">
        <v>81157</v>
      </c>
      <c r="H152">
        <v>1</v>
      </c>
      <c r="I152" s="3">
        <v>0</v>
      </c>
      <c r="J152" s="2">
        <v>16061.25</v>
      </c>
    </row>
    <row r="153" spans="1:10" x14ac:dyDescent="0.35">
      <c r="A153" t="s">
        <v>178</v>
      </c>
      <c r="B153" s="1">
        <v>45526</v>
      </c>
      <c r="C153" t="s">
        <v>11</v>
      </c>
      <c r="D153" t="s">
        <v>28</v>
      </c>
      <c r="E153" t="s">
        <v>23</v>
      </c>
      <c r="F153" t="s">
        <v>24</v>
      </c>
      <c r="G153" s="2">
        <v>139809</v>
      </c>
      <c r="H153">
        <v>1</v>
      </c>
      <c r="I153" s="3">
        <v>0.05</v>
      </c>
      <c r="J153" s="2">
        <v>5120.75</v>
      </c>
    </row>
    <row r="154" spans="1:10" x14ac:dyDescent="0.35">
      <c r="A154" t="s">
        <v>179</v>
      </c>
      <c r="B154" s="1">
        <v>45586</v>
      </c>
      <c r="C154" t="s">
        <v>16</v>
      </c>
      <c r="D154" t="s">
        <v>28</v>
      </c>
      <c r="E154" t="s">
        <v>13</v>
      </c>
      <c r="F154" t="s">
        <v>14</v>
      </c>
      <c r="G154" s="2">
        <v>23224</v>
      </c>
      <c r="H154">
        <v>2</v>
      </c>
      <c r="I154" s="3">
        <v>0</v>
      </c>
      <c r="J154" s="2">
        <v>4132.87</v>
      </c>
    </row>
    <row r="155" spans="1:10" x14ac:dyDescent="0.35">
      <c r="A155" t="s">
        <v>180</v>
      </c>
      <c r="B155" s="1">
        <v>45439</v>
      </c>
      <c r="C155" t="s">
        <v>16</v>
      </c>
      <c r="D155" t="s">
        <v>28</v>
      </c>
      <c r="E155" t="s">
        <v>13</v>
      </c>
      <c r="F155" t="s">
        <v>24</v>
      </c>
      <c r="G155" s="2">
        <v>95943</v>
      </c>
      <c r="H155">
        <v>4</v>
      </c>
      <c r="I155" s="3">
        <v>0.1</v>
      </c>
      <c r="J155" s="2">
        <v>10458.69</v>
      </c>
    </row>
    <row r="156" spans="1:10" x14ac:dyDescent="0.35">
      <c r="A156" t="s">
        <v>181</v>
      </c>
      <c r="B156" s="1">
        <v>45562</v>
      </c>
      <c r="C156" t="s">
        <v>16</v>
      </c>
      <c r="D156" t="s">
        <v>22</v>
      </c>
      <c r="E156" t="s">
        <v>18</v>
      </c>
      <c r="F156" t="s">
        <v>31</v>
      </c>
      <c r="G156" s="2">
        <v>116724</v>
      </c>
      <c r="H156">
        <v>5</v>
      </c>
      <c r="I156" s="3">
        <v>0.05</v>
      </c>
      <c r="J156" s="2">
        <v>1938.65</v>
      </c>
    </row>
    <row r="157" spans="1:10" x14ac:dyDescent="0.35">
      <c r="A157" t="s">
        <v>182</v>
      </c>
      <c r="B157" s="1">
        <v>45405</v>
      </c>
      <c r="C157" t="s">
        <v>16</v>
      </c>
      <c r="D157" t="s">
        <v>22</v>
      </c>
      <c r="E157" t="s">
        <v>13</v>
      </c>
      <c r="F157" t="s">
        <v>40</v>
      </c>
      <c r="G157" s="2">
        <v>147459</v>
      </c>
      <c r="H157">
        <v>4</v>
      </c>
      <c r="I157" s="3">
        <v>0.05</v>
      </c>
      <c r="J157" s="2">
        <v>7957.69</v>
      </c>
    </row>
    <row r="158" spans="1:10" x14ac:dyDescent="0.35">
      <c r="A158" t="s">
        <v>183</v>
      </c>
      <c r="B158" s="1">
        <v>45524</v>
      </c>
      <c r="C158" t="s">
        <v>16</v>
      </c>
      <c r="D158" t="s">
        <v>12</v>
      </c>
      <c r="E158" t="s">
        <v>23</v>
      </c>
      <c r="F158" t="s">
        <v>26</v>
      </c>
      <c r="G158" s="2">
        <v>49231</v>
      </c>
      <c r="H158">
        <v>9</v>
      </c>
      <c r="I158" s="3">
        <v>0</v>
      </c>
      <c r="J158" s="2">
        <v>4869.25</v>
      </c>
    </row>
    <row r="159" spans="1:10" x14ac:dyDescent="0.35">
      <c r="A159" t="s">
        <v>184</v>
      </c>
      <c r="B159" s="1">
        <v>45385</v>
      </c>
      <c r="C159" t="s">
        <v>11</v>
      </c>
      <c r="D159" t="s">
        <v>12</v>
      </c>
      <c r="E159" t="s">
        <v>23</v>
      </c>
      <c r="F159" t="s">
        <v>14</v>
      </c>
      <c r="G159" s="2">
        <v>21586</v>
      </c>
      <c r="H159">
        <v>1</v>
      </c>
      <c r="I159" s="3">
        <v>0.15</v>
      </c>
      <c r="J159" s="2">
        <v>-645.05999999999995</v>
      </c>
    </row>
    <row r="160" spans="1:10" x14ac:dyDescent="0.35">
      <c r="A160" t="s">
        <v>185</v>
      </c>
      <c r="B160" s="1">
        <v>45621</v>
      </c>
      <c r="C160" t="s">
        <v>16</v>
      </c>
      <c r="D160" t="s">
        <v>28</v>
      </c>
      <c r="E160" t="s">
        <v>23</v>
      </c>
      <c r="F160" t="s">
        <v>31</v>
      </c>
      <c r="G160" s="2">
        <v>27816</v>
      </c>
      <c r="H160">
        <v>6</v>
      </c>
      <c r="I160" s="3">
        <v>0.05</v>
      </c>
      <c r="J160" s="2">
        <v>2140.81</v>
      </c>
    </row>
    <row r="161" spans="1:10" x14ac:dyDescent="0.35">
      <c r="A161" t="s">
        <v>186</v>
      </c>
      <c r="B161" s="1">
        <v>45544</v>
      </c>
      <c r="C161" t="s">
        <v>16</v>
      </c>
      <c r="D161" t="s">
        <v>28</v>
      </c>
      <c r="E161" t="s">
        <v>18</v>
      </c>
      <c r="F161" t="s">
        <v>14</v>
      </c>
      <c r="G161" s="2">
        <v>90253</v>
      </c>
      <c r="H161">
        <v>6</v>
      </c>
      <c r="I161" s="3">
        <v>0.05</v>
      </c>
      <c r="J161" s="2">
        <v>3114.81</v>
      </c>
    </row>
    <row r="162" spans="1:10" x14ac:dyDescent="0.35">
      <c r="A162" t="s">
        <v>187</v>
      </c>
      <c r="B162" s="1">
        <v>45360</v>
      </c>
      <c r="C162" t="s">
        <v>11</v>
      </c>
      <c r="D162" t="s">
        <v>12</v>
      </c>
      <c r="E162" t="s">
        <v>18</v>
      </c>
      <c r="F162" t="s">
        <v>26</v>
      </c>
      <c r="G162" s="2">
        <v>95575</v>
      </c>
      <c r="H162">
        <v>1</v>
      </c>
      <c r="I162" s="3">
        <v>0.1</v>
      </c>
      <c r="J162" s="2">
        <v>6709.03</v>
      </c>
    </row>
    <row r="163" spans="1:10" x14ac:dyDescent="0.35">
      <c r="A163" t="s">
        <v>188</v>
      </c>
      <c r="B163" s="1">
        <v>45405</v>
      </c>
      <c r="C163" t="s">
        <v>21</v>
      </c>
      <c r="D163" t="s">
        <v>28</v>
      </c>
      <c r="E163" t="s">
        <v>23</v>
      </c>
      <c r="F163" t="s">
        <v>14</v>
      </c>
      <c r="G163" s="2">
        <v>25057</v>
      </c>
      <c r="H163">
        <v>1</v>
      </c>
      <c r="I163" s="3">
        <v>0.1</v>
      </c>
      <c r="J163" s="2">
        <v>-905.86</v>
      </c>
    </row>
    <row r="164" spans="1:10" x14ac:dyDescent="0.35">
      <c r="A164" t="s">
        <v>189</v>
      </c>
      <c r="B164" s="1">
        <v>45403</v>
      </c>
      <c r="C164" t="s">
        <v>16</v>
      </c>
      <c r="D164" t="s">
        <v>12</v>
      </c>
      <c r="E164" t="s">
        <v>23</v>
      </c>
      <c r="F164" t="s">
        <v>26</v>
      </c>
      <c r="G164" s="2">
        <v>13993</v>
      </c>
      <c r="H164">
        <v>1</v>
      </c>
      <c r="I164" s="3">
        <v>0.1</v>
      </c>
      <c r="J164" s="2">
        <v>365.38</v>
      </c>
    </row>
    <row r="165" spans="1:10" x14ac:dyDescent="0.35">
      <c r="A165" t="s">
        <v>190</v>
      </c>
      <c r="B165" s="1">
        <v>45393</v>
      </c>
      <c r="C165" t="s">
        <v>11</v>
      </c>
      <c r="D165" t="s">
        <v>12</v>
      </c>
      <c r="E165" t="s">
        <v>18</v>
      </c>
      <c r="F165" t="s">
        <v>33</v>
      </c>
      <c r="G165" s="2">
        <v>142569</v>
      </c>
      <c r="H165">
        <v>8</v>
      </c>
      <c r="I165" s="3">
        <v>0.1</v>
      </c>
      <c r="J165" s="2">
        <v>18083.150000000001</v>
      </c>
    </row>
    <row r="166" spans="1:10" x14ac:dyDescent="0.35">
      <c r="A166" t="s">
        <v>191</v>
      </c>
      <c r="B166" s="1">
        <v>45365</v>
      </c>
      <c r="C166" t="s">
        <v>11</v>
      </c>
      <c r="D166" t="s">
        <v>12</v>
      </c>
      <c r="E166" t="s">
        <v>23</v>
      </c>
      <c r="F166" t="s">
        <v>33</v>
      </c>
      <c r="G166" s="2">
        <v>113190</v>
      </c>
      <c r="H166">
        <v>9</v>
      </c>
      <c r="I166" s="3">
        <v>0</v>
      </c>
      <c r="J166" s="2">
        <v>26454.2</v>
      </c>
    </row>
    <row r="167" spans="1:10" x14ac:dyDescent="0.35">
      <c r="A167" t="s">
        <v>192</v>
      </c>
      <c r="B167" s="1">
        <v>45388</v>
      </c>
      <c r="C167" t="s">
        <v>11</v>
      </c>
      <c r="D167" t="s">
        <v>17</v>
      </c>
      <c r="E167" t="s">
        <v>18</v>
      </c>
      <c r="F167" t="s">
        <v>19</v>
      </c>
      <c r="G167" s="2">
        <v>36220</v>
      </c>
      <c r="H167">
        <v>6</v>
      </c>
      <c r="I167" s="3">
        <v>0.1</v>
      </c>
      <c r="J167" s="2">
        <v>2482.96</v>
      </c>
    </row>
    <row r="168" spans="1:10" x14ac:dyDescent="0.35">
      <c r="A168" t="s">
        <v>193</v>
      </c>
      <c r="B168" s="1">
        <v>45551</v>
      </c>
      <c r="C168" t="s">
        <v>11</v>
      </c>
      <c r="D168" t="s">
        <v>28</v>
      </c>
      <c r="E168" t="s">
        <v>13</v>
      </c>
      <c r="F168" t="s">
        <v>26</v>
      </c>
      <c r="G168" s="2">
        <v>136890</v>
      </c>
      <c r="H168">
        <v>6</v>
      </c>
      <c r="I168" s="3">
        <v>0.15</v>
      </c>
      <c r="J168" s="2">
        <v>12921.12</v>
      </c>
    </row>
    <row r="169" spans="1:10" x14ac:dyDescent="0.35">
      <c r="A169" t="s">
        <v>194</v>
      </c>
      <c r="B169" s="1">
        <v>45478</v>
      </c>
      <c r="C169" t="s">
        <v>16</v>
      </c>
      <c r="D169" t="s">
        <v>12</v>
      </c>
      <c r="E169" t="s">
        <v>13</v>
      </c>
      <c r="F169" t="s">
        <v>40</v>
      </c>
      <c r="G169" s="2">
        <v>40105</v>
      </c>
      <c r="H169">
        <v>2</v>
      </c>
      <c r="I169" s="3">
        <v>0.1</v>
      </c>
      <c r="J169" s="2">
        <v>2802.22</v>
      </c>
    </row>
    <row r="170" spans="1:10" x14ac:dyDescent="0.35">
      <c r="A170" t="s">
        <v>195</v>
      </c>
      <c r="B170" s="1">
        <v>45397</v>
      </c>
      <c r="C170" t="s">
        <v>16</v>
      </c>
      <c r="D170" t="s">
        <v>22</v>
      </c>
      <c r="E170" t="s">
        <v>18</v>
      </c>
      <c r="F170" t="s">
        <v>33</v>
      </c>
      <c r="G170" s="2">
        <v>88216</v>
      </c>
      <c r="H170">
        <v>10</v>
      </c>
      <c r="I170" s="3">
        <v>0.1</v>
      </c>
      <c r="J170" s="2">
        <v>-1690.28</v>
      </c>
    </row>
    <row r="171" spans="1:10" x14ac:dyDescent="0.35">
      <c r="A171" t="s">
        <v>196</v>
      </c>
      <c r="B171" s="1">
        <v>45631</v>
      </c>
      <c r="C171" t="s">
        <v>11</v>
      </c>
      <c r="D171" t="s">
        <v>17</v>
      </c>
      <c r="E171" t="s">
        <v>18</v>
      </c>
      <c r="F171" t="s">
        <v>33</v>
      </c>
      <c r="G171" s="2">
        <v>105659</v>
      </c>
      <c r="H171">
        <v>1</v>
      </c>
      <c r="I171" s="3">
        <v>0</v>
      </c>
      <c r="J171" s="2">
        <v>11276.57</v>
      </c>
    </row>
    <row r="172" spans="1:10" x14ac:dyDescent="0.35">
      <c r="A172" t="s">
        <v>197</v>
      </c>
      <c r="B172" s="1">
        <v>45378</v>
      </c>
      <c r="C172" t="s">
        <v>11</v>
      </c>
      <c r="D172" t="s">
        <v>12</v>
      </c>
      <c r="E172" t="s">
        <v>23</v>
      </c>
      <c r="F172" t="s">
        <v>33</v>
      </c>
      <c r="G172" s="2">
        <v>29509</v>
      </c>
      <c r="H172">
        <v>5</v>
      </c>
      <c r="I172" s="3">
        <v>0.15</v>
      </c>
      <c r="J172" s="2">
        <v>-2875.21</v>
      </c>
    </row>
    <row r="173" spans="1:10" x14ac:dyDescent="0.35">
      <c r="A173" t="s">
        <v>198</v>
      </c>
      <c r="B173" s="1">
        <v>45302</v>
      </c>
      <c r="C173" t="s">
        <v>16</v>
      </c>
      <c r="D173" t="s">
        <v>28</v>
      </c>
      <c r="E173" t="s">
        <v>18</v>
      </c>
      <c r="F173" t="s">
        <v>33</v>
      </c>
      <c r="G173" s="2">
        <v>59019</v>
      </c>
      <c r="H173">
        <v>5</v>
      </c>
      <c r="I173" s="3">
        <v>0.15</v>
      </c>
      <c r="J173" s="2">
        <v>3804.77</v>
      </c>
    </row>
    <row r="174" spans="1:10" x14ac:dyDescent="0.35">
      <c r="A174" t="s">
        <v>199</v>
      </c>
      <c r="B174" s="1">
        <v>45585</v>
      </c>
      <c r="C174" t="s">
        <v>11</v>
      </c>
      <c r="D174" t="s">
        <v>22</v>
      </c>
      <c r="E174" t="s">
        <v>13</v>
      </c>
      <c r="F174" t="s">
        <v>40</v>
      </c>
      <c r="G174" s="2">
        <v>8522</v>
      </c>
      <c r="H174">
        <v>7</v>
      </c>
      <c r="I174" s="3">
        <v>0.05</v>
      </c>
      <c r="J174" s="2">
        <v>752.2</v>
      </c>
    </row>
    <row r="175" spans="1:10" x14ac:dyDescent="0.35">
      <c r="A175" t="s">
        <v>200</v>
      </c>
      <c r="B175" s="1">
        <v>45445</v>
      </c>
      <c r="C175" t="s">
        <v>21</v>
      </c>
      <c r="D175" t="s">
        <v>17</v>
      </c>
      <c r="E175" t="s">
        <v>13</v>
      </c>
      <c r="F175" t="s">
        <v>33</v>
      </c>
      <c r="G175" s="2">
        <v>60726</v>
      </c>
      <c r="H175">
        <v>1</v>
      </c>
      <c r="I175" s="3">
        <v>0.1</v>
      </c>
      <c r="J175" s="2">
        <v>676.6</v>
      </c>
    </row>
    <row r="176" spans="1:10" x14ac:dyDescent="0.35">
      <c r="A176" t="s">
        <v>201</v>
      </c>
      <c r="B176" s="1">
        <v>45457</v>
      </c>
      <c r="C176" t="s">
        <v>21</v>
      </c>
      <c r="D176" t="s">
        <v>22</v>
      </c>
      <c r="E176" t="s">
        <v>23</v>
      </c>
      <c r="F176" t="s">
        <v>31</v>
      </c>
      <c r="G176" s="2">
        <v>50209</v>
      </c>
      <c r="H176">
        <v>10</v>
      </c>
      <c r="I176" s="3">
        <v>0.05</v>
      </c>
      <c r="J176" s="2">
        <v>4760.8500000000004</v>
      </c>
    </row>
    <row r="177" spans="1:10" x14ac:dyDescent="0.35">
      <c r="A177" t="s">
        <v>202</v>
      </c>
      <c r="B177" s="1">
        <v>45608</v>
      </c>
      <c r="C177" t="s">
        <v>11</v>
      </c>
      <c r="D177" t="s">
        <v>22</v>
      </c>
      <c r="E177" t="s">
        <v>23</v>
      </c>
      <c r="F177" t="s">
        <v>24</v>
      </c>
      <c r="G177" s="2">
        <v>72658</v>
      </c>
      <c r="H177">
        <v>2</v>
      </c>
      <c r="I177" s="3">
        <v>0.05</v>
      </c>
      <c r="J177" s="2">
        <v>223.62</v>
      </c>
    </row>
    <row r="178" spans="1:10" x14ac:dyDescent="0.35">
      <c r="A178" t="s">
        <v>203</v>
      </c>
      <c r="B178" s="1">
        <v>45461</v>
      </c>
      <c r="C178" t="s">
        <v>21</v>
      </c>
      <c r="D178" t="s">
        <v>17</v>
      </c>
      <c r="E178" t="s">
        <v>23</v>
      </c>
      <c r="F178" t="s">
        <v>40</v>
      </c>
      <c r="G178" s="2">
        <v>32293</v>
      </c>
      <c r="H178">
        <v>9</v>
      </c>
      <c r="I178" s="3">
        <v>0.15</v>
      </c>
      <c r="J178" s="2">
        <v>-2597.83</v>
      </c>
    </row>
    <row r="179" spans="1:10" x14ac:dyDescent="0.35">
      <c r="A179" t="s">
        <v>204</v>
      </c>
      <c r="B179" s="1">
        <v>45638</v>
      </c>
      <c r="C179" t="s">
        <v>21</v>
      </c>
      <c r="D179" t="s">
        <v>12</v>
      </c>
      <c r="E179" t="s">
        <v>18</v>
      </c>
      <c r="F179" t="s">
        <v>14</v>
      </c>
      <c r="G179" s="2">
        <v>111521</v>
      </c>
      <c r="H179">
        <v>1</v>
      </c>
      <c r="I179" s="3">
        <v>0.15</v>
      </c>
      <c r="J179" s="2">
        <v>-6805.91</v>
      </c>
    </row>
    <row r="180" spans="1:10" x14ac:dyDescent="0.35">
      <c r="A180" t="s">
        <v>205</v>
      </c>
      <c r="B180" s="1">
        <v>45292</v>
      </c>
      <c r="C180" t="s">
        <v>11</v>
      </c>
      <c r="D180" t="s">
        <v>28</v>
      </c>
      <c r="E180" t="s">
        <v>18</v>
      </c>
      <c r="F180" t="s">
        <v>14</v>
      </c>
      <c r="G180" s="2">
        <v>64463</v>
      </c>
      <c r="H180">
        <v>6</v>
      </c>
      <c r="I180" s="3">
        <v>0.15</v>
      </c>
      <c r="J180" s="2">
        <v>-2205.29</v>
      </c>
    </row>
    <row r="181" spans="1:10" x14ac:dyDescent="0.35">
      <c r="A181" t="s">
        <v>206</v>
      </c>
      <c r="B181" s="1">
        <v>45359</v>
      </c>
      <c r="C181" t="s">
        <v>21</v>
      </c>
      <c r="D181" t="s">
        <v>17</v>
      </c>
      <c r="E181" t="s">
        <v>23</v>
      </c>
      <c r="F181" t="s">
        <v>31</v>
      </c>
      <c r="G181" s="2">
        <v>64922</v>
      </c>
      <c r="H181">
        <v>10</v>
      </c>
      <c r="I181" s="3">
        <v>0.1</v>
      </c>
      <c r="J181" s="2">
        <v>8846.9500000000007</v>
      </c>
    </row>
    <row r="182" spans="1:10" x14ac:dyDescent="0.35">
      <c r="A182" t="s">
        <v>207</v>
      </c>
      <c r="B182" s="1">
        <v>45366</v>
      </c>
      <c r="C182" t="s">
        <v>16</v>
      </c>
      <c r="D182" t="s">
        <v>22</v>
      </c>
      <c r="E182" t="s">
        <v>13</v>
      </c>
      <c r="F182" t="s">
        <v>14</v>
      </c>
      <c r="G182" s="2">
        <v>9048</v>
      </c>
      <c r="H182">
        <v>7</v>
      </c>
      <c r="I182" s="3">
        <v>0.05</v>
      </c>
      <c r="J182" s="2">
        <v>1404.32</v>
      </c>
    </row>
    <row r="183" spans="1:10" x14ac:dyDescent="0.35">
      <c r="A183" t="s">
        <v>208</v>
      </c>
      <c r="B183" s="1">
        <v>45424</v>
      </c>
      <c r="C183" t="s">
        <v>21</v>
      </c>
      <c r="D183" t="s">
        <v>22</v>
      </c>
      <c r="E183" t="s">
        <v>23</v>
      </c>
      <c r="F183" t="s">
        <v>40</v>
      </c>
      <c r="G183" s="2">
        <v>42590</v>
      </c>
      <c r="H183">
        <v>1</v>
      </c>
      <c r="I183" s="3">
        <v>0.05</v>
      </c>
      <c r="J183" s="2">
        <v>336.64</v>
      </c>
    </row>
    <row r="184" spans="1:10" x14ac:dyDescent="0.35">
      <c r="A184" t="s">
        <v>209</v>
      </c>
      <c r="B184" s="1">
        <v>45588</v>
      </c>
      <c r="C184" t="s">
        <v>16</v>
      </c>
      <c r="D184" t="s">
        <v>22</v>
      </c>
      <c r="E184" t="s">
        <v>23</v>
      </c>
      <c r="F184" t="s">
        <v>24</v>
      </c>
      <c r="G184" s="2">
        <v>149524</v>
      </c>
      <c r="H184">
        <v>7</v>
      </c>
      <c r="I184" s="3">
        <v>0.15</v>
      </c>
      <c r="J184" s="2">
        <v>-12287</v>
      </c>
    </row>
    <row r="185" spans="1:10" x14ac:dyDescent="0.35">
      <c r="A185" t="s">
        <v>210</v>
      </c>
      <c r="B185" s="1">
        <v>45647</v>
      </c>
      <c r="C185" t="s">
        <v>21</v>
      </c>
      <c r="D185" t="s">
        <v>12</v>
      </c>
      <c r="E185" t="s">
        <v>13</v>
      </c>
      <c r="F185" t="s">
        <v>14</v>
      </c>
      <c r="G185" s="2">
        <v>126333</v>
      </c>
      <c r="H185">
        <v>1</v>
      </c>
      <c r="I185" s="3">
        <v>0.05</v>
      </c>
      <c r="J185" s="2">
        <v>12247.61</v>
      </c>
    </row>
    <row r="186" spans="1:10" x14ac:dyDescent="0.35">
      <c r="A186" t="s">
        <v>211</v>
      </c>
      <c r="B186" s="1">
        <v>45361</v>
      </c>
      <c r="C186" t="s">
        <v>21</v>
      </c>
      <c r="D186" t="s">
        <v>17</v>
      </c>
      <c r="E186" t="s">
        <v>13</v>
      </c>
      <c r="F186" t="s">
        <v>31</v>
      </c>
      <c r="G186" s="2">
        <v>33965</v>
      </c>
      <c r="H186">
        <v>4</v>
      </c>
      <c r="I186" s="3">
        <v>0.15</v>
      </c>
      <c r="J186" s="2">
        <v>3118.85</v>
      </c>
    </row>
    <row r="187" spans="1:10" x14ac:dyDescent="0.35">
      <c r="A187" t="s">
        <v>212</v>
      </c>
      <c r="B187" s="1">
        <v>45371</v>
      </c>
      <c r="C187" t="s">
        <v>11</v>
      </c>
      <c r="D187" t="s">
        <v>12</v>
      </c>
      <c r="E187" t="s">
        <v>13</v>
      </c>
      <c r="F187" t="s">
        <v>14</v>
      </c>
      <c r="G187" s="2">
        <v>40324</v>
      </c>
      <c r="H187">
        <v>1</v>
      </c>
      <c r="I187" s="3">
        <v>0.05</v>
      </c>
      <c r="J187" s="2">
        <v>5376.43</v>
      </c>
    </row>
    <row r="188" spans="1:10" x14ac:dyDescent="0.35">
      <c r="A188" t="s">
        <v>213</v>
      </c>
      <c r="B188" s="1">
        <v>45604</v>
      </c>
      <c r="C188" t="s">
        <v>21</v>
      </c>
      <c r="D188" t="s">
        <v>12</v>
      </c>
      <c r="E188" t="s">
        <v>13</v>
      </c>
      <c r="F188" t="s">
        <v>26</v>
      </c>
      <c r="G188" s="2">
        <v>67594</v>
      </c>
      <c r="H188">
        <v>4</v>
      </c>
      <c r="I188" s="3">
        <v>0</v>
      </c>
      <c r="J188" s="2">
        <v>10693.22</v>
      </c>
    </row>
    <row r="189" spans="1:10" x14ac:dyDescent="0.35">
      <c r="A189" t="s">
        <v>214</v>
      </c>
      <c r="B189" s="1">
        <v>45313</v>
      </c>
      <c r="C189" t="s">
        <v>21</v>
      </c>
      <c r="D189" t="s">
        <v>28</v>
      </c>
      <c r="E189" t="s">
        <v>13</v>
      </c>
      <c r="F189" t="s">
        <v>31</v>
      </c>
      <c r="G189" s="2">
        <v>66796</v>
      </c>
      <c r="H189">
        <v>5</v>
      </c>
      <c r="I189" s="3">
        <v>0.15</v>
      </c>
      <c r="J189" s="2">
        <v>-743.82</v>
      </c>
    </row>
    <row r="190" spans="1:10" x14ac:dyDescent="0.35">
      <c r="A190" t="s">
        <v>215</v>
      </c>
      <c r="B190" s="1">
        <v>45567</v>
      </c>
      <c r="C190" t="s">
        <v>11</v>
      </c>
      <c r="D190" t="s">
        <v>28</v>
      </c>
      <c r="E190" t="s">
        <v>13</v>
      </c>
      <c r="F190" t="s">
        <v>24</v>
      </c>
      <c r="G190" s="2">
        <v>35722</v>
      </c>
      <c r="H190">
        <v>7</v>
      </c>
      <c r="I190" s="3">
        <v>0.15</v>
      </c>
      <c r="J190" s="2">
        <v>2135.23</v>
      </c>
    </row>
    <row r="191" spans="1:10" x14ac:dyDescent="0.35">
      <c r="A191" t="s">
        <v>216</v>
      </c>
      <c r="B191" s="1">
        <v>45471</v>
      </c>
      <c r="C191" t="s">
        <v>21</v>
      </c>
      <c r="D191" t="s">
        <v>17</v>
      </c>
      <c r="E191" t="s">
        <v>18</v>
      </c>
      <c r="F191" t="s">
        <v>33</v>
      </c>
      <c r="G191" s="2">
        <v>67569</v>
      </c>
      <c r="H191">
        <v>9</v>
      </c>
      <c r="I191" s="3">
        <v>0.15</v>
      </c>
      <c r="J191" s="2">
        <v>247.76</v>
      </c>
    </row>
    <row r="192" spans="1:10" x14ac:dyDescent="0.35">
      <c r="A192" t="s">
        <v>217</v>
      </c>
      <c r="B192" s="1">
        <v>45552</v>
      </c>
      <c r="C192" t="s">
        <v>21</v>
      </c>
      <c r="D192" t="s">
        <v>17</v>
      </c>
      <c r="E192" t="s">
        <v>23</v>
      </c>
      <c r="F192" t="s">
        <v>24</v>
      </c>
      <c r="G192" s="2">
        <v>72225</v>
      </c>
      <c r="H192">
        <v>4</v>
      </c>
      <c r="I192" s="3">
        <v>0.1</v>
      </c>
      <c r="J192" s="2">
        <v>-935.06</v>
      </c>
    </row>
    <row r="193" spans="1:10" x14ac:dyDescent="0.35">
      <c r="A193" t="s">
        <v>218</v>
      </c>
      <c r="B193" s="1">
        <v>45615</v>
      </c>
      <c r="C193" t="s">
        <v>21</v>
      </c>
      <c r="D193" t="s">
        <v>22</v>
      </c>
      <c r="E193" t="s">
        <v>13</v>
      </c>
      <c r="F193" t="s">
        <v>40</v>
      </c>
      <c r="G193" s="2">
        <v>130148</v>
      </c>
      <c r="H193">
        <v>4</v>
      </c>
      <c r="I193" s="3">
        <v>0</v>
      </c>
      <c r="J193" s="2">
        <v>21778.76</v>
      </c>
    </row>
    <row r="194" spans="1:10" x14ac:dyDescent="0.35">
      <c r="A194" t="s">
        <v>219</v>
      </c>
      <c r="B194" s="1">
        <v>45319</v>
      </c>
      <c r="C194" t="s">
        <v>16</v>
      </c>
      <c r="D194" t="s">
        <v>12</v>
      </c>
      <c r="E194" t="s">
        <v>23</v>
      </c>
      <c r="F194" t="s">
        <v>26</v>
      </c>
      <c r="G194" s="2">
        <v>42091</v>
      </c>
      <c r="H194">
        <v>4</v>
      </c>
      <c r="I194" s="3">
        <v>0.1</v>
      </c>
      <c r="J194" s="2">
        <v>4914.7299999999996</v>
      </c>
    </row>
    <row r="195" spans="1:10" x14ac:dyDescent="0.35">
      <c r="A195" t="s">
        <v>220</v>
      </c>
      <c r="B195" s="1">
        <v>45588</v>
      </c>
      <c r="C195" t="s">
        <v>11</v>
      </c>
      <c r="D195" t="s">
        <v>28</v>
      </c>
      <c r="E195" t="s">
        <v>23</v>
      </c>
      <c r="F195" t="s">
        <v>31</v>
      </c>
      <c r="G195" s="2">
        <v>106545</v>
      </c>
      <c r="H195">
        <v>10</v>
      </c>
      <c r="I195" s="3">
        <v>0.1</v>
      </c>
      <c r="J195" s="2">
        <v>8719.66</v>
      </c>
    </row>
    <row r="196" spans="1:10" x14ac:dyDescent="0.35">
      <c r="A196" t="s">
        <v>221</v>
      </c>
      <c r="B196" s="1">
        <v>45541</v>
      </c>
      <c r="C196" t="s">
        <v>21</v>
      </c>
      <c r="D196" t="s">
        <v>12</v>
      </c>
      <c r="E196" t="s">
        <v>18</v>
      </c>
      <c r="F196" t="s">
        <v>40</v>
      </c>
      <c r="G196" s="2">
        <v>143806</v>
      </c>
      <c r="H196">
        <v>8</v>
      </c>
      <c r="I196" s="3">
        <v>0.1</v>
      </c>
      <c r="J196" s="2">
        <v>4355.53</v>
      </c>
    </row>
    <row r="197" spans="1:10" x14ac:dyDescent="0.35">
      <c r="A197" t="s">
        <v>222</v>
      </c>
      <c r="B197" s="1">
        <v>45349</v>
      </c>
      <c r="C197" t="s">
        <v>21</v>
      </c>
      <c r="D197" t="s">
        <v>22</v>
      </c>
      <c r="E197" t="s">
        <v>18</v>
      </c>
      <c r="F197" t="s">
        <v>26</v>
      </c>
      <c r="G197" s="2">
        <v>139960</v>
      </c>
      <c r="H197">
        <v>6</v>
      </c>
      <c r="I197" s="3">
        <v>0.1</v>
      </c>
      <c r="J197" s="2">
        <v>19837.75</v>
      </c>
    </row>
    <row r="198" spans="1:10" x14ac:dyDescent="0.35">
      <c r="A198" t="s">
        <v>223</v>
      </c>
      <c r="B198" s="1">
        <v>45645</v>
      </c>
      <c r="C198" t="s">
        <v>16</v>
      </c>
      <c r="D198" t="s">
        <v>22</v>
      </c>
      <c r="E198" t="s">
        <v>23</v>
      </c>
      <c r="F198" t="s">
        <v>26</v>
      </c>
      <c r="G198" s="2">
        <v>52641</v>
      </c>
      <c r="H198">
        <v>10</v>
      </c>
      <c r="I198" s="3">
        <v>0.1</v>
      </c>
      <c r="J198" s="2">
        <v>6787.81</v>
      </c>
    </row>
    <row r="199" spans="1:10" x14ac:dyDescent="0.35">
      <c r="A199" t="s">
        <v>224</v>
      </c>
      <c r="B199" s="1">
        <v>45560</v>
      </c>
      <c r="C199" t="s">
        <v>11</v>
      </c>
      <c r="D199" t="s">
        <v>17</v>
      </c>
      <c r="E199" t="s">
        <v>18</v>
      </c>
      <c r="F199" t="s">
        <v>24</v>
      </c>
      <c r="G199" s="2">
        <v>25968</v>
      </c>
      <c r="H199">
        <v>9</v>
      </c>
      <c r="I199" s="3">
        <v>0</v>
      </c>
      <c r="J199" s="2">
        <v>5988.59</v>
      </c>
    </row>
    <row r="200" spans="1:10" x14ac:dyDescent="0.35">
      <c r="A200" t="s">
        <v>225</v>
      </c>
      <c r="B200" s="1">
        <v>45488</v>
      </c>
      <c r="C200" t="s">
        <v>21</v>
      </c>
      <c r="D200" t="s">
        <v>28</v>
      </c>
      <c r="E200" t="s">
        <v>13</v>
      </c>
      <c r="F200" t="s">
        <v>26</v>
      </c>
      <c r="G200" s="2">
        <v>114187</v>
      </c>
      <c r="H200">
        <v>2</v>
      </c>
      <c r="I200" s="3">
        <v>0.15</v>
      </c>
      <c r="J200" s="2">
        <v>-3103.53</v>
      </c>
    </row>
    <row r="201" spans="1:10" x14ac:dyDescent="0.35">
      <c r="A201" t="s">
        <v>226</v>
      </c>
      <c r="B201" s="1">
        <v>45519</v>
      </c>
      <c r="C201" t="s">
        <v>16</v>
      </c>
      <c r="D201" t="s">
        <v>28</v>
      </c>
      <c r="E201" t="s">
        <v>18</v>
      </c>
      <c r="F201" t="s">
        <v>26</v>
      </c>
      <c r="G201" s="2">
        <v>100247</v>
      </c>
      <c r="H201">
        <v>3</v>
      </c>
      <c r="I201" s="3">
        <v>0.05</v>
      </c>
      <c r="J201" s="2">
        <v>6780.12</v>
      </c>
    </row>
    <row r="202" spans="1:10" x14ac:dyDescent="0.35">
      <c r="A202" t="s">
        <v>227</v>
      </c>
      <c r="B202" s="1">
        <v>45492</v>
      </c>
      <c r="C202" t="s">
        <v>21</v>
      </c>
      <c r="D202" t="s">
        <v>28</v>
      </c>
      <c r="E202" t="s">
        <v>18</v>
      </c>
      <c r="F202" t="s">
        <v>26</v>
      </c>
      <c r="G202" s="2">
        <v>60591</v>
      </c>
      <c r="H202">
        <v>1</v>
      </c>
      <c r="I202" s="3">
        <v>0.1</v>
      </c>
      <c r="J202" s="2">
        <v>-1094.77</v>
      </c>
    </row>
    <row r="203" spans="1:10" x14ac:dyDescent="0.35">
      <c r="A203" t="s">
        <v>228</v>
      </c>
      <c r="B203" s="1">
        <v>45444</v>
      </c>
      <c r="C203" t="s">
        <v>21</v>
      </c>
      <c r="D203" t="s">
        <v>22</v>
      </c>
      <c r="E203" t="s">
        <v>23</v>
      </c>
      <c r="F203" t="s">
        <v>26</v>
      </c>
      <c r="G203" s="2">
        <v>47666</v>
      </c>
      <c r="H203">
        <v>7</v>
      </c>
      <c r="I203" s="3">
        <v>0.05</v>
      </c>
      <c r="J203" s="2">
        <v>9112.34</v>
      </c>
    </row>
    <row r="204" spans="1:10" x14ac:dyDescent="0.35">
      <c r="A204" t="s">
        <v>229</v>
      </c>
      <c r="B204" s="1">
        <v>45307</v>
      </c>
      <c r="C204" t="s">
        <v>21</v>
      </c>
      <c r="D204" t="s">
        <v>17</v>
      </c>
      <c r="E204" t="s">
        <v>18</v>
      </c>
      <c r="F204" t="s">
        <v>40</v>
      </c>
      <c r="G204" s="2">
        <v>138243</v>
      </c>
      <c r="H204">
        <v>3</v>
      </c>
      <c r="I204" s="3">
        <v>0.15</v>
      </c>
      <c r="J204" s="2">
        <v>-13590.63</v>
      </c>
    </row>
    <row r="205" spans="1:10" x14ac:dyDescent="0.35">
      <c r="A205" t="s">
        <v>230</v>
      </c>
      <c r="B205" s="1">
        <v>45417</v>
      </c>
      <c r="C205" t="s">
        <v>16</v>
      </c>
      <c r="D205" t="s">
        <v>17</v>
      </c>
      <c r="E205" t="s">
        <v>23</v>
      </c>
      <c r="F205" t="s">
        <v>26</v>
      </c>
      <c r="G205" s="2">
        <v>7396</v>
      </c>
      <c r="H205">
        <v>1</v>
      </c>
      <c r="I205" s="3">
        <v>0</v>
      </c>
      <c r="J205" s="2">
        <v>1778.69</v>
      </c>
    </row>
    <row r="206" spans="1:10" x14ac:dyDescent="0.35">
      <c r="A206" t="s">
        <v>231</v>
      </c>
      <c r="B206" s="1">
        <v>45572</v>
      </c>
      <c r="C206" t="s">
        <v>11</v>
      </c>
      <c r="D206" t="s">
        <v>12</v>
      </c>
      <c r="E206" t="s">
        <v>23</v>
      </c>
      <c r="F206" t="s">
        <v>31</v>
      </c>
      <c r="G206" s="2">
        <v>17877</v>
      </c>
      <c r="H206">
        <v>9</v>
      </c>
      <c r="I206" s="3">
        <v>0.05</v>
      </c>
      <c r="J206" s="2">
        <v>2095.09</v>
      </c>
    </row>
    <row r="207" spans="1:10" x14ac:dyDescent="0.35">
      <c r="A207" t="s">
        <v>232</v>
      </c>
      <c r="B207" s="1">
        <v>45300</v>
      </c>
      <c r="C207" t="s">
        <v>16</v>
      </c>
      <c r="D207" t="s">
        <v>28</v>
      </c>
      <c r="E207" t="s">
        <v>13</v>
      </c>
      <c r="F207" t="s">
        <v>31</v>
      </c>
      <c r="G207" s="2">
        <v>25401</v>
      </c>
      <c r="H207">
        <v>5</v>
      </c>
      <c r="I207" s="3">
        <v>0.15</v>
      </c>
      <c r="J207" s="2">
        <v>1793.82</v>
      </c>
    </row>
    <row r="208" spans="1:10" x14ac:dyDescent="0.35">
      <c r="A208" t="s">
        <v>233</v>
      </c>
      <c r="B208" s="1">
        <v>45642</v>
      </c>
      <c r="C208" t="s">
        <v>16</v>
      </c>
      <c r="D208" t="s">
        <v>12</v>
      </c>
      <c r="E208" t="s">
        <v>18</v>
      </c>
      <c r="F208" t="s">
        <v>24</v>
      </c>
      <c r="G208" s="2">
        <v>16966</v>
      </c>
      <c r="H208">
        <v>10</v>
      </c>
      <c r="I208" s="3">
        <v>0.15</v>
      </c>
      <c r="J208" s="2">
        <v>-1022.06</v>
      </c>
    </row>
    <row r="209" spans="1:10" x14ac:dyDescent="0.35">
      <c r="A209" t="s">
        <v>234</v>
      </c>
      <c r="B209" s="1">
        <v>45489</v>
      </c>
      <c r="C209" t="s">
        <v>21</v>
      </c>
      <c r="D209" t="s">
        <v>17</v>
      </c>
      <c r="E209" t="s">
        <v>23</v>
      </c>
      <c r="F209" t="s">
        <v>40</v>
      </c>
      <c r="G209" s="2">
        <v>100015</v>
      </c>
      <c r="H209">
        <v>10</v>
      </c>
      <c r="I209" s="3">
        <v>0.05</v>
      </c>
      <c r="J209" s="2">
        <v>5230.88</v>
      </c>
    </row>
    <row r="210" spans="1:10" x14ac:dyDescent="0.35">
      <c r="A210" t="s">
        <v>235</v>
      </c>
      <c r="B210" s="1">
        <v>45556</v>
      </c>
      <c r="C210" t="s">
        <v>11</v>
      </c>
      <c r="D210" t="s">
        <v>12</v>
      </c>
      <c r="E210" t="s">
        <v>18</v>
      </c>
      <c r="F210" t="s">
        <v>33</v>
      </c>
      <c r="G210" s="2">
        <v>54701</v>
      </c>
      <c r="H210">
        <v>3</v>
      </c>
      <c r="I210" s="3">
        <v>0.15</v>
      </c>
      <c r="J210" s="2">
        <v>-3047.08</v>
      </c>
    </row>
    <row r="211" spans="1:10" x14ac:dyDescent="0.35">
      <c r="A211" t="s">
        <v>236</v>
      </c>
      <c r="B211" s="1">
        <v>45572</v>
      </c>
      <c r="C211" t="s">
        <v>11</v>
      </c>
      <c r="D211" t="s">
        <v>17</v>
      </c>
      <c r="E211" t="s">
        <v>23</v>
      </c>
      <c r="F211" t="s">
        <v>40</v>
      </c>
      <c r="G211" s="2">
        <v>60196</v>
      </c>
      <c r="H211">
        <v>3</v>
      </c>
      <c r="I211" s="3">
        <v>0.05</v>
      </c>
      <c r="J211" s="2">
        <v>10081.25</v>
      </c>
    </row>
    <row r="212" spans="1:10" x14ac:dyDescent="0.35">
      <c r="A212" t="s">
        <v>237</v>
      </c>
      <c r="B212" s="1">
        <v>45384</v>
      </c>
      <c r="C212" t="s">
        <v>16</v>
      </c>
      <c r="D212" t="s">
        <v>28</v>
      </c>
      <c r="E212" t="s">
        <v>23</v>
      </c>
      <c r="F212" t="s">
        <v>40</v>
      </c>
      <c r="G212" s="2">
        <v>110200</v>
      </c>
      <c r="H212">
        <v>7</v>
      </c>
      <c r="I212" s="3">
        <v>0</v>
      </c>
      <c r="J212" s="2">
        <v>21057.32</v>
      </c>
    </row>
    <row r="213" spans="1:10" x14ac:dyDescent="0.35">
      <c r="A213" t="s">
        <v>238</v>
      </c>
      <c r="B213" s="1">
        <v>45652</v>
      </c>
      <c r="C213" t="s">
        <v>16</v>
      </c>
      <c r="D213" t="s">
        <v>28</v>
      </c>
      <c r="E213" t="s">
        <v>23</v>
      </c>
      <c r="F213" t="s">
        <v>40</v>
      </c>
      <c r="G213" s="2">
        <v>54985</v>
      </c>
      <c r="H213">
        <v>1</v>
      </c>
      <c r="I213" s="3">
        <v>0.1</v>
      </c>
      <c r="J213" s="2">
        <v>6477.33</v>
      </c>
    </row>
    <row r="214" spans="1:10" x14ac:dyDescent="0.35">
      <c r="A214" t="s">
        <v>239</v>
      </c>
      <c r="B214" s="1">
        <v>45294</v>
      </c>
      <c r="C214" t="s">
        <v>16</v>
      </c>
      <c r="D214" t="s">
        <v>17</v>
      </c>
      <c r="E214" t="s">
        <v>18</v>
      </c>
      <c r="F214" t="s">
        <v>26</v>
      </c>
      <c r="G214" s="2">
        <v>86022</v>
      </c>
      <c r="H214">
        <v>3</v>
      </c>
      <c r="I214" s="3">
        <v>0</v>
      </c>
      <c r="J214" s="2">
        <v>16585.86</v>
      </c>
    </row>
    <row r="215" spans="1:10" x14ac:dyDescent="0.35">
      <c r="A215" t="s">
        <v>240</v>
      </c>
      <c r="B215" s="1">
        <v>45402</v>
      </c>
      <c r="C215" t="s">
        <v>16</v>
      </c>
      <c r="D215" t="s">
        <v>12</v>
      </c>
      <c r="E215" t="s">
        <v>23</v>
      </c>
      <c r="F215" t="s">
        <v>31</v>
      </c>
      <c r="G215" s="2">
        <v>140668</v>
      </c>
      <c r="H215">
        <v>8</v>
      </c>
      <c r="I215" s="3">
        <v>0.15</v>
      </c>
      <c r="J215" s="2">
        <v>11644.1</v>
      </c>
    </row>
    <row r="216" spans="1:10" x14ac:dyDescent="0.35">
      <c r="A216" t="s">
        <v>241</v>
      </c>
      <c r="B216" s="1">
        <v>45460</v>
      </c>
      <c r="C216" t="s">
        <v>16</v>
      </c>
      <c r="D216" t="s">
        <v>12</v>
      </c>
      <c r="E216" t="s">
        <v>18</v>
      </c>
      <c r="F216" t="s">
        <v>24</v>
      </c>
      <c r="G216" s="2">
        <v>49566</v>
      </c>
      <c r="H216">
        <v>1</v>
      </c>
      <c r="I216" s="3">
        <v>0</v>
      </c>
      <c r="J216" s="2">
        <v>3105.28</v>
      </c>
    </row>
    <row r="217" spans="1:10" x14ac:dyDescent="0.35">
      <c r="A217" t="s">
        <v>242</v>
      </c>
      <c r="B217" s="1">
        <v>45309</v>
      </c>
      <c r="C217" t="s">
        <v>21</v>
      </c>
      <c r="D217" t="s">
        <v>12</v>
      </c>
      <c r="E217" t="s">
        <v>18</v>
      </c>
      <c r="F217" t="s">
        <v>14</v>
      </c>
      <c r="G217" s="2">
        <v>143020</v>
      </c>
      <c r="H217">
        <v>5</v>
      </c>
      <c r="I217" s="3">
        <v>0.1</v>
      </c>
      <c r="J217" s="2">
        <v>16792.86</v>
      </c>
    </row>
    <row r="218" spans="1:10" x14ac:dyDescent="0.35">
      <c r="A218" t="s">
        <v>243</v>
      </c>
      <c r="B218" s="1">
        <v>45643</v>
      </c>
      <c r="C218" t="s">
        <v>21</v>
      </c>
      <c r="D218" t="s">
        <v>22</v>
      </c>
      <c r="E218" t="s">
        <v>18</v>
      </c>
      <c r="F218" t="s">
        <v>31</v>
      </c>
      <c r="G218" s="2">
        <v>132573</v>
      </c>
      <c r="H218">
        <v>4</v>
      </c>
      <c r="I218" s="3">
        <v>0.1</v>
      </c>
      <c r="J218" s="2">
        <v>15426.54</v>
      </c>
    </row>
    <row r="219" spans="1:10" x14ac:dyDescent="0.35">
      <c r="A219" t="s">
        <v>244</v>
      </c>
      <c r="B219" s="1">
        <v>45315</v>
      </c>
      <c r="C219" t="s">
        <v>16</v>
      </c>
      <c r="D219" t="s">
        <v>12</v>
      </c>
      <c r="E219" t="s">
        <v>13</v>
      </c>
      <c r="F219" t="s">
        <v>31</v>
      </c>
      <c r="G219" s="2">
        <v>34114</v>
      </c>
      <c r="H219">
        <v>7</v>
      </c>
      <c r="I219" s="3">
        <v>0</v>
      </c>
      <c r="J219" s="2">
        <v>2978.51</v>
      </c>
    </row>
    <row r="220" spans="1:10" x14ac:dyDescent="0.35">
      <c r="A220" t="s">
        <v>245</v>
      </c>
      <c r="B220" s="1">
        <v>45506</v>
      </c>
      <c r="C220" t="s">
        <v>16</v>
      </c>
      <c r="D220" t="s">
        <v>28</v>
      </c>
      <c r="E220" t="s">
        <v>23</v>
      </c>
      <c r="F220" t="s">
        <v>19</v>
      </c>
      <c r="G220" s="2">
        <v>65750</v>
      </c>
      <c r="H220">
        <v>5</v>
      </c>
      <c r="I220" s="3">
        <v>0.15</v>
      </c>
      <c r="J220" s="2">
        <v>-1718.05</v>
      </c>
    </row>
    <row r="221" spans="1:10" x14ac:dyDescent="0.35">
      <c r="A221" t="s">
        <v>246</v>
      </c>
      <c r="B221" s="1">
        <v>45483</v>
      </c>
      <c r="C221" t="s">
        <v>16</v>
      </c>
      <c r="D221" t="s">
        <v>12</v>
      </c>
      <c r="E221" t="s">
        <v>23</v>
      </c>
      <c r="F221" t="s">
        <v>19</v>
      </c>
      <c r="G221" s="2">
        <v>49338</v>
      </c>
      <c r="H221">
        <v>3</v>
      </c>
      <c r="I221" s="3">
        <v>0.1</v>
      </c>
      <c r="J221" s="2">
        <v>3567.68</v>
      </c>
    </row>
    <row r="222" spans="1:10" x14ac:dyDescent="0.35">
      <c r="A222" t="s">
        <v>247</v>
      </c>
      <c r="B222" s="1">
        <v>45560</v>
      </c>
      <c r="C222" t="s">
        <v>11</v>
      </c>
      <c r="D222" t="s">
        <v>28</v>
      </c>
      <c r="E222" t="s">
        <v>13</v>
      </c>
      <c r="F222" t="s">
        <v>26</v>
      </c>
      <c r="G222" s="2">
        <v>148711</v>
      </c>
      <c r="H222">
        <v>9</v>
      </c>
      <c r="I222" s="3">
        <v>0.15</v>
      </c>
      <c r="J222" s="2">
        <v>-10972.63</v>
      </c>
    </row>
    <row r="223" spans="1:10" x14ac:dyDescent="0.35">
      <c r="A223" t="s">
        <v>248</v>
      </c>
      <c r="B223" s="1">
        <v>45392</v>
      </c>
      <c r="C223" t="s">
        <v>11</v>
      </c>
      <c r="D223" t="s">
        <v>17</v>
      </c>
      <c r="E223" t="s">
        <v>18</v>
      </c>
      <c r="F223" t="s">
        <v>14</v>
      </c>
      <c r="G223" s="2">
        <v>81659</v>
      </c>
      <c r="H223">
        <v>5</v>
      </c>
      <c r="I223" s="3">
        <v>0.05</v>
      </c>
      <c r="J223" s="2">
        <v>5280.2</v>
      </c>
    </row>
    <row r="224" spans="1:10" x14ac:dyDescent="0.35">
      <c r="A224" t="s">
        <v>249</v>
      </c>
      <c r="B224" s="1">
        <v>45514</v>
      </c>
      <c r="C224" t="s">
        <v>11</v>
      </c>
      <c r="D224" t="s">
        <v>17</v>
      </c>
      <c r="E224" t="s">
        <v>18</v>
      </c>
      <c r="F224" t="s">
        <v>24</v>
      </c>
      <c r="G224" s="2">
        <v>65191</v>
      </c>
      <c r="H224">
        <v>6</v>
      </c>
      <c r="I224" s="3">
        <v>0.05</v>
      </c>
      <c r="J224" s="2">
        <v>3813.92</v>
      </c>
    </row>
    <row r="225" spans="1:10" x14ac:dyDescent="0.35">
      <c r="A225" t="s">
        <v>250</v>
      </c>
      <c r="B225" s="1">
        <v>45606</v>
      </c>
      <c r="C225" t="s">
        <v>11</v>
      </c>
      <c r="D225" t="s">
        <v>17</v>
      </c>
      <c r="E225" t="s">
        <v>23</v>
      </c>
      <c r="F225" t="s">
        <v>19</v>
      </c>
      <c r="G225" s="2">
        <v>128670</v>
      </c>
      <c r="H225">
        <v>1</v>
      </c>
      <c r="I225" s="3">
        <v>0.15</v>
      </c>
      <c r="J225" s="2">
        <v>3338.08</v>
      </c>
    </row>
    <row r="226" spans="1:10" x14ac:dyDescent="0.35">
      <c r="A226" t="s">
        <v>251</v>
      </c>
      <c r="B226" s="1">
        <v>45478</v>
      </c>
      <c r="C226" t="s">
        <v>11</v>
      </c>
      <c r="D226" t="s">
        <v>17</v>
      </c>
      <c r="E226" t="s">
        <v>13</v>
      </c>
      <c r="F226" t="s">
        <v>31</v>
      </c>
      <c r="G226" s="2">
        <v>95631</v>
      </c>
      <c r="H226">
        <v>8</v>
      </c>
      <c r="I226" s="3">
        <v>0.15</v>
      </c>
      <c r="J226" s="2">
        <v>3995.82</v>
      </c>
    </row>
    <row r="227" spans="1:10" x14ac:dyDescent="0.35">
      <c r="A227" t="s">
        <v>252</v>
      </c>
      <c r="B227" s="1">
        <v>45571</v>
      </c>
      <c r="C227" t="s">
        <v>11</v>
      </c>
      <c r="D227" t="s">
        <v>12</v>
      </c>
      <c r="E227" t="s">
        <v>23</v>
      </c>
      <c r="F227" t="s">
        <v>19</v>
      </c>
      <c r="G227" s="2">
        <v>85979</v>
      </c>
      <c r="H227">
        <v>2</v>
      </c>
      <c r="I227" s="3">
        <v>0.15</v>
      </c>
      <c r="J227" s="2">
        <v>-3272.15</v>
      </c>
    </row>
    <row r="228" spans="1:10" x14ac:dyDescent="0.35">
      <c r="A228" t="s">
        <v>253</v>
      </c>
      <c r="B228" s="1">
        <v>45584</v>
      </c>
      <c r="C228" t="s">
        <v>11</v>
      </c>
      <c r="D228" t="s">
        <v>22</v>
      </c>
      <c r="E228" t="s">
        <v>13</v>
      </c>
      <c r="F228" t="s">
        <v>19</v>
      </c>
      <c r="G228" s="2">
        <v>46471</v>
      </c>
      <c r="H228">
        <v>1</v>
      </c>
      <c r="I228" s="3">
        <v>0.1</v>
      </c>
      <c r="J228" s="2">
        <v>6623.38</v>
      </c>
    </row>
    <row r="229" spans="1:10" x14ac:dyDescent="0.35">
      <c r="A229" t="s">
        <v>254</v>
      </c>
      <c r="B229" s="1">
        <v>45654</v>
      </c>
      <c r="C229" t="s">
        <v>11</v>
      </c>
      <c r="D229" t="s">
        <v>17</v>
      </c>
      <c r="E229" t="s">
        <v>13</v>
      </c>
      <c r="F229" t="s">
        <v>40</v>
      </c>
      <c r="G229" s="2">
        <v>11758</v>
      </c>
      <c r="H229">
        <v>6</v>
      </c>
      <c r="I229" s="3">
        <v>0.1</v>
      </c>
      <c r="J229" s="2">
        <v>1382.97</v>
      </c>
    </row>
    <row r="230" spans="1:10" x14ac:dyDescent="0.35">
      <c r="A230" t="s">
        <v>255</v>
      </c>
      <c r="B230" s="1">
        <v>45464</v>
      </c>
      <c r="C230" t="s">
        <v>21</v>
      </c>
      <c r="D230" t="s">
        <v>17</v>
      </c>
      <c r="E230" t="s">
        <v>23</v>
      </c>
      <c r="F230" t="s">
        <v>14</v>
      </c>
      <c r="G230" s="2">
        <v>141453</v>
      </c>
      <c r="H230">
        <v>8</v>
      </c>
      <c r="I230" s="3">
        <v>0</v>
      </c>
      <c r="J230" s="2">
        <v>29813.5</v>
      </c>
    </row>
    <row r="231" spans="1:10" x14ac:dyDescent="0.35">
      <c r="A231" t="s">
        <v>256</v>
      </c>
      <c r="B231" s="1">
        <v>45499</v>
      </c>
      <c r="C231" t="s">
        <v>11</v>
      </c>
      <c r="D231" t="s">
        <v>28</v>
      </c>
      <c r="E231" t="s">
        <v>13</v>
      </c>
      <c r="F231" t="s">
        <v>19</v>
      </c>
      <c r="G231" s="2">
        <v>17935</v>
      </c>
      <c r="H231">
        <v>4</v>
      </c>
      <c r="I231" s="3">
        <v>0.15</v>
      </c>
      <c r="J231" s="2">
        <v>253.79</v>
      </c>
    </row>
    <row r="232" spans="1:10" x14ac:dyDescent="0.35">
      <c r="A232" t="s">
        <v>257</v>
      </c>
      <c r="B232" s="1">
        <v>45419</v>
      </c>
      <c r="C232" t="s">
        <v>16</v>
      </c>
      <c r="D232" t="s">
        <v>28</v>
      </c>
      <c r="E232" t="s">
        <v>23</v>
      </c>
      <c r="F232" t="s">
        <v>33</v>
      </c>
      <c r="G232" s="2">
        <v>105598</v>
      </c>
      <c r="H232">
        <v>4</v>
      </c>
      <c r="I232" s="3">
        <v>0.15</v>
      </c>
      <c r="J232" s="2">
        <v>743.08</v>
      </c>
    </row>
    <row r="233" spans="1:10" x14ac:dyDescent="0.35">
      <c r="A233" t="s">
        <v>258</v>
      </c>
      <c r="B233" s="1">
        <v>45394</v>
      </c>
      <c r="C233" t="s">
        <v>21</v>
      </c>
      <c r="D233" t="s">
        <v>17</v>
      </c>
      <c r="E233" t="s">
        <v>18</v>
      </c>
      <c r="F233" t="s">
        <v>24</v>
      </c>
      <c r="G233" s="2">
        <v>94113</v>
      </c>
      <c r="H233">
        <v>10</v>
      </c>
      <c r="I233" s="3">
        <v>0</v>
      </c>
      <c r="J233" s="2">
        <v>22297.75</v>
      </c>
    </row>
    <row r="234" spans="1:10" x14ac:dyDescent="0.35">
      <c r="A234" t="s">
        <v>259</v>
      </c>
      <c r="B234" s="1">
        <v>45408</v>
      </c>
      <c r="C234" t="s">
        <v>21</v>
      </c>
      <c r="D234" t="s">
        <v>22</v>
      </c>
      <c r="E234" t="s">
        <v>13</v>
      </c>
      <c r="F234" t="s">
        <v>26</v>
      </c>
      <c r="G234" s="2">
        <v>106086</v>
      </c>
      <c r="H234">
        <v>8</v>
      </c>
      <c r="I234" s="3">
        <v>0.05</v>
      </c>
      <c r="J234" s="2">
        <v>19078.240000000002</v>
      </c>
    </row>
    <row r="235" spans="1:10" x14ac:dyDescent="0.35">
      <c r="A235" t="s">
        <v>260</v>
      </c>
      <c r="B235" s="1">
        <v>45575</v>
      </c>
      <c r="C235" t="s">
        <v>21</v>
      </c>
      <c r="D235" t="s">
        <v>28</v>
      </c>
      <c r="E235" t="s">
        <v>13</v>
      </c>
      <c r="F235" t="s">
        <v>31</v>
      </c>
      <c r="G235" s="2">
        <v>143326</v>
      </c>
      <c r="H235">
        <v>2</v>
      </c>
      <c r="I235" s="3">
        <v>0.1</v>
      </c>
      <c r="J235" s="2">
        <v>8446.82</v>
      </c>
    </row>
    <row r="236" spans="1:10" x14ac:dyDescent="0.35">
      <c r="A236" t="s">
        <v>261</v>
      </c>
      <c r="B236" s="1">
        <v>45543</v>
      </c>
      <c r="C236" t="s">
        <v>16</v>
      </c>
      <c r="D236" t="s">
        <v>12</v>
      </c>
      <c r="E236" t="s">
        <v>18</v>
      </c>
      <c r="F236" t="s">
        <v>19</v>
      </c>
      <c r="G236" s="2">
        <v>106171</v>
      </c>
      <c r="H236">
        <v>6</v>
      </c>
      <c r="I236" s="3">
        <v>0.1</v>
      </c>
      <c r="J236" s="2">
        <v>14455.64</v>
      </c>
    </row>
    <row r="237" spans="1:10" x14ac:dyDescent="0.35">
      <c r="A237" t="s">
        <v>262</v>
      </c>
      <c r="B237" s="1">
        <v>45353</v>
      </c>
      <c r="C237" t="s">
        <v>11</v>
      </c>
      <c r="D237" t="s">
        <v>22</v>
      </c>
      <c r="E237" t="s">
        <v>23</v>
      </c>
      <c r="F237" t="s">
        <v>31</v>
      </c>
      <c r="G237" s="2">
        <v>63022</v>
      </c>
      <c r="H237">
        <v>9</v>
      </c>
      <c r="I237" s="3">
        <v>0.15</v>
      </c>
      <c r="J237" s="2">
        <v>-3835.22</v>
      </c>
    </row>
    <row r="238" spans="1:10" x14ac:dyDescent="0.35">
      <c r="A238" t="s">
        <v>263</v>
      </c>
      <c r="B238" s="1">
        <v>45459</v>
      </c>
      <c r="C238" t="s">
        <v>21</v>
      </c>
      <c r="D238" t="s">
        <v>17</v>
      </c>
      <c r="E238" t="s">
        <v>18</v>
      </c>
      <c r="F238" t="s">
        <v>14</v>
      </c>
      <c r="G238" s="2">
        <v>9553</v>
      </c>
      <c r="H238">
        <v>7</v>
      </c>
      <c r="I238" s="3">
        <v>0.1</v>
      </c>
      <c r="J238" s="2">
        <v>-327.63</v>
      </c>
    </row>
    <row r="239" spans="1:10" x14ac:dyDescent="0.35">
      <c r="A239" t="s">
        <v>264</v>
      </c>
      <c r="B239" s="1">
        <v>45525</v>
      </c>
      <c r="C239" t="s">
        <v>16</v>
      </c>
      <c r="D239" t="s">
        <v>28</v>
      </c>
      <c r="E239" t="s">
        <v>23</v>
      </c>
      <c r="F239" t="s">
        <v>26</v>
      </c>
      <c r="G239" s="2">
        <v>56274</v>
      </c>
      <c r="H239">
        <v>3</v>
      </c>
      <c r="I239" s="3">
        <v>0.15</v>
      </c>
      <c r="J239" s="2">
        <v>1339.75</v>
      </c>
    </row>
    <row r="240" spans="1:10" x14ac:dyDescent="0.35">
      <c r="A240" t="s">
        <v>265</v>
      </c>
      <c r="B240" s="1">
        <v>45295</v>
      </c>
      <c r="C240" t="s">
        <v>16</v>
      </c>
      <c r="D240" t="s">
        <v>17</v>
      </c>
      <c r="E240" t="s">
        <v>23</v>
      </c>
      <c r="F240" t="s">
        <v>26</v>
      </c>
      <c r="G240" s="2">
        <v>52329</v>
      </c>
      <c r="H240">
        <v>10</v>
      </c>
      <c r="I240" s="3">
        <v>0.15</v>
      </c>
      <c r="J240" s="2">
        <v>-3345.45</v>
      </c>
    </row>
    <row r="241" spans="1:10" x14ac:dyDescent="0.35">
      <c r="A241" t="s">
        <v>266</v>
      </c>
      <c r="B241" s="1">
        <v>45479</v>
      </c>
      <c r="C241" t="s">
        <v>21</v>
      </c>
      <c r="D241" t="s">
        <v>22</v>
      </c>
      <c r="E241" t="s">
        <v>13</v>
      </c>
      <c r="F241" t="s">
        <v>40</v>
      </c>
      <c r="G241" s="2">
        <v>37887</v>
      </c>
      <c r="H241">
        <v>5</v>
      </c>
      <c r="I241" s="3">
        <v>0.05</v>
      </c>
      <c r="J241" s="2">
        <v>1601.48</v>
      </c>
    </row>
    <row r="242" spans="1:10" x14ac:dyDescent="0.35">
      <c r="A242" t="s">
        <v>267</v>
      </c>
      <c r="B242" s="1">
        <v>45356</v>
      </c>
      <c r="C242" t="s">
        <v>21</v>
      </c>
      <c r="D242" t="s">
        <v>17</v>
      </c>
      <c r="E242" t="s">
        <v>23</v>
      </c>
      <c r="F242" t="s">
        <v>14</v>
      </c>
      <c r="G242" s="2">
        <v>61469</v>
      </c>
      <c r="H242">
        <v>1</v>
      </c>
      <c r="I242" s="3">
        <v>0.05</v>
      </c>
      <c r="J242" s="2">
        <v>2189.19</v>
      </c>
    </row>
    <row r="243" spans="1:10" x14ac:dyDescent="0.35">
      <c r="A243" t="s">
        <v>268</v>
      </c>
      <c r="B243" s="1">
        <v>45538</v>
      </c>
      <c r="C243" t="s">
        <v>21</v>
      </c>
      <c r="D243" t="s">
        <v>17</v>
      </c>
      <c r="E243" t="s">
        <v>23</v>
      </c>
      <c r="F243" t="s">
        <v>24</v>
      </c>
      <c r="G243" s="2">
        <v>85602</v>
      </c>
      <c r="H243">
        <v>8</v>
      </c>
      <c r="I243" s="3">
        <v>0.05</v>
      </c>
      <c r="J243" s="2">
        <v>16742.47</v>
      </c>
    </row>
    <row r="244" spans="1:10" x14ac:dyDescent="0.35">
      <c r="A244" t="s">
        <v>269</v>
      </c>
      <c r="B244" s="1">
        <v>45300</v>
      </c>
      <c r="C244" t="s">
        <v>21</v>
      </c>
      <c r="D244" t="s">
        <v>12</v>
      </c>
      <c r="E244" t="s">
        <v>23</v>
      </c>
      <c r="F244" t="s">
        <v>14</v>
      </c>
      <c r="G244" s="2">
        <v>119956</v>
      </c>
      <c r="H244">
        <v>1</v>
      </c>
      <c r="I244" s="3">
        <v>0.05</v>
      </c>
      <c r="J244" s="2">
        <v>9575.98</v>
      </c>
    </row>
    <row r="245" spans="1:10" x14ac:dyDescent="0.35">
      <c r="A245" t="s">
        <v>270</v>
      </c>
      <c r="B245" s="1">
        <v>45429</v>
      </c>
      <c r="C245" t="s">
        <v>11</v>
      </c>
      <c r="D245" t="s">
        <v>12</v>
      </c>
      <c r="E245" t="s">
        <v>13</v>
      </c>
      <c r="F245" t="s">
        <v>40</v>
      </c>
      <c r="G245" s="2">
        <v>102415</v>
      </c>
      <c r="H245">
        <v>2</v>
      </c>
      <c r="I245" s="3">
        <v>0.15</v>
      </c>
      <c r="J245" s="2">
        <v>-7840.72</v>
      </c>
    </row>
    <row r="246" spans="1:10" x14ac:dyDescent="0.35">
      <c r="A246" t="s">
        <v>271</v>
      </c>
      <c r="B246" s="1">
        <v>45390</v>
      </c>
      <c r="C246" t="s">
        <v>21</v>
      </c>
      <c r="D246" t="s">
        <v>12</v>
      </c>
      <c r="E246" t="s">
        <v>18</v>
      </c>
      <c r="F246" t="s">
        <v>31</v>
      </c>
      <c r="G246" s="2">
        <v>96856</v>
      </c>
      <c r="H246">
        <v>10</v>
      </c>
      <c r="I246" s="3">
        <v>0.15</v>
      </c>
      <c r="J246" s="2">
        <v>8856.6299999999992</v>
      </c>
    </row>
    <row r="247" spans="1:10" x14ac:dyDescent="0.35">
      <c r="A247" t="s">
        <v>272</v>
      </c>
      <c r="B247" s="1">
        <v>45312</v>
      </c>
      <c r="C247" t="s">
        <v>16</v>
      </c>
      <c r="D247" t="s">
        <v>28</v>
      </c>
      <c r="E247" t="s">
        <v>13</v>
      </c>
      <c r="F247" t="s">
        <v>24</v>
      </c>
      <c r="G247" s="2">
        <v>100296</v>
      </c>
      <c r="H247">
        <v>9</v>
      </c>
      <c r="I247" s="3">
        <v>0.05</v>
      </c>
      <c r="J247" s="2">
        <v>407.63</v>
      </c>
    </row>
    <row r="248" spans="1:10" x14ac:dyDescent="0.35">
      <c r="A248" t="s">
        <v>273</v>
      </c>
      <c r="B248" s="1">
        <v>45507</v>
      </c>
      <c r="C248" t="s">
        <v>16</v>
      </c>
      <c r="D248" t="s">
        <v>22</v>
      </c>
      <c r="E248" t="s">
        <v>23</v>
      </c>
      <c r="F248" t="s">
        <v>26</v>
      </c>
      <c r="G248" s="2">
        <v>39089</v>
      </c>
      <c r="H248">
        <v>8</v>
      </c>
      <c r="I248" s="3">
        <v>0.05</v>
      </c>
      <c r="J248" s="2">
        <v>7702.69</v>
      </c>
    </row>
    <row r="249" spans="1:10" x14ac:dyDescent="0.35">
      <c r="A249" t="s">
        <v>274</v>
      </c>
      <c r="B249" s="1">
        <v>45383</v>
      </c>
      <c r="C249" t="s">
        <v>21</v>
      </c>
      <c r="D249" t="s">
        <v>12</v>
      </c>
      <c r="E249" t="s">
        <v>23</v>
      </c>
      <c r="F249" t="s">
        <v>31</v>
      </c>
      <c r="G249" s="2">
        <v>89230</v>
      </c>
      <c r="H249">
        <v>10</v>
      </c>
      <c r="I249" s="3">
        <v>0.05</v>
      </c>
      <c r="J249" s="2">
        <v>15931.09</v>
      </c>
    </row>
    <row r="250" spans="1:10" x14ac:dyDescent="0.35">
      <c r="A250" t="s">
        <v>275</v>
      </c>
      <c r="B250" s="1">
        <v>45415</v>
      </c>
      <c r="C250" t="s">
        <v>11</v>
      </c>
      <c r="D250" t="s">
        <v>22</v>
      </c>
      <c r="E250" t="s">
        <v>23</v>
      </c>
      <c r="F250" t="s">
        <v>31</v>
      </c>
      <c r="G250" s="2">
        <v>35754</v>
      </c>
      <c r="H250">
        <v>4</v>
      </c>
      <c r="I250" s="3">
        <v>0.05</v>
      </c>
      <c r="J250" s="2">
        <v>2449.11</v>
      </c>
    </row>
    <row r="251" spans="1:10" x14ac:dyDescent="0.35">
      <c r="A251" t="s">
        <v>276</v>
      </c>
      <c r="B251" s="1">
        <v>45529</v>
      </c>
      <c r="C251" t="s">
        <v>16</v>
      </c>
      <c r="D251" t="s">
        <v>12</v>
      </c>
      <c r="E251" t="s">
        <v>18</v>
      </c>
      <c r="F251" t="s">
        <v>14</v>
      </c>
      <c r="G251" s="2">
        <v>128634</v>
      </c>
      <c r="H251">
        <v>4</v>
      </c>
      <c r="I251" s="3">
        <v>0.05</v>
      </c>
      <c r="J251" s="2">
        <v>17101.189999999999</v>
      </c>
    </row>
    <row r="252" spans="1:10" x14ac:dyDescent="0.35">
      <c r="A252" t="s">
        <v>277</v>
      </c>
      <c r="B252" s="1">
        <v>45497</v>
      </c>
      <c r="C252" t="s">
        <v>16</v>
      </c>
      <c r="D252" t="s">
        <v>17</v>
      </c>
      <c r="E252" t="s">
        <v>13</v>
      </c>
      <c r="F252" t="s">
        <v>33</v>
      </c>
      <c r="G252" s="2">
        <v>28047</v>
      </c>
      <c r="H252">
        <v>6</v>
      </c>
      <c r="I252" s="3">
        <v>0</v>
      </c>
      <c r="J252" s="2">
        <v>5766.4</v>
      </c>
    </row>
    <row r="253" spans="1:10" x14ac:dyDescent="0.35">
      <c r="A253" t="s">
        <v>278</v>
      </c>
      <c r="B253" s="1">
        <v>45493</v>
      </c>
      <c r="C253" t="s">
        <v>16</v>
      </c>
      <c r="D253" t="s">
        <v>28</v>
      </c>
      <c r="E253" t="s">
        <v>23</v>
      </c>
      <c r="F253" t="s">
        <v>24</v>
      </c>
      <c r="G253" s="2">
        <v>92923</v>
      </c>
      <c r="H253">
        <v>5</v>
      </c>
      <c r="I253" s="3">
        <v>0.1</v>
      </c>
      <c r="J253" s="2">
        <v>-3153.27</v>
      </c>
    </row>
    <row r="254" spans="1:10" x14ac:dyDescent="0.35">
      <c r="A254" t="s">
        <v>279</v>
      </c>
      <c r="B254" s="1">
        <v>45505</v>
      </c>
      <c r="C254" t="s">
        <v>16</v>
      </c>
      <c r="D254" t="s">
        <v>12</v>
      </c>
      <c r="E254" t="s">
        <v>23</v>
      </c>
      <c r="F254" t="s">
        <v>31</v>
      </c>
      <c r="G254" s="2">
        <v>94120</v>
      </c>
      <c r="H254">
        <v>4</v>
      </c>
      <c r="I254" s="3">
        <v>0.15</v>
      </c>
      <c r="J254" s="2">
        <v>-8044.65</v>
      </c>
    </row>
    <row r="255" spans="1:10" x14ac:dyDescent="0.35">
      <c r="A255" t="s">
        <v>280</v>
      </c>
      <c r="B255" s="1">
        <v>45495</v>
      </c>
      <c r="C255" t="s">
        <v>11</v>
      </c>
      <c r="D255" t="s">
        <v>28</v>
      </c>
      <c r="E255" t="s">
        <v>13</v>
      </c>
      <c r="F255" t="s">
        <v>40</v>
      </c>
      <c r="G255" s="2">
        <v>117163</v>
      </c>
      <c r="H255">
        <v>3</v>
      </c>
      <c r="I255" s="3">
        <v>0</v>
      </c>
      <c r="J255" s="2">
        <v>19519.39</v>
      </c>
    </row>
    <row r="256" spans="1:10" x14ac:dyDescent="0.35">
      <c r="A256" t="s">
        <v>281</v>
      </c>
      <c r="B256" s="1">
        <v>45552</v>
      </c>
      <c r="C256" t="s">
        <v>21</v>
      </c>
      <c r="D256" t="s">
        <v>22</v>
      </c>
      <c r="E256" t="s">
        <v>23</v>
      </c>
      <c r="F256" t="s">
        <v>24</v>
      </c>
      <c r="G256" s="2">
        <v>79497</v>
      </c>
      <c r="H256">
        <v>10</v>
      </c>
      <c r="I256" s="3">
        <v>0.1</v>
      </c>
      <c r="J256" s="2">
        <v>6713.14</v>
      </c>
    </row>
    <row r="257" spans="1:10" x14ac:dyDescent="0.35">
      <c r="A257" t="s">
        <v>282</v>
      </c>
      <c r="B257" s="1">
        <v>45471</v>
      </c>
      <c r="C257" t="s">
        <v>21</v>
      </c>
      <c r="D257" t="s">
        <v>22</v>
      </c>
      <c r="E257" t="s">
        <v>23</v>
      </c>
      <c r="F257" t="s">
        <v>31</v>
      </c>
      <c r="G257" s="2">
        <v>33332</v>
      </c>
      <c r="H257">
        <v>5</v>
      </c>
      <c r="I257" s="3">
        <v>0</v>
      </c>
      <c r="J257" s="2">
        <v>3076.22</v>
      </c>
    </row>
    <row r="258" spans="1:10" x14ac:dyDescent="0.35">
      <c r="A258" t="s">
        <v>283</v>
      </c>
      <c r="B258" s="1">
        <v>45620</v>
      </c>
      <c r="C258" t="s">
        <v>21</v>
      </c>
      <c r="D258" t="s">
        <v>12</v>
      </c>
      <c r="E258" t="s">
        <v>23</v>
      </c>
      <c r="F258" t="s">
        <v>26</v>
      </c>
      <c r="G258" s="2">
        <v>27446</v>
      </c>
      <c r="H258">
        <v>1</v>
      </c>
      <c r="I258" s="3">
        <v>0.05</v>
      </c>
      <c r="J258" s="2">
        <v>4449.22</v>
      </c>
    </row>
    <row r="259" spans="1:10" x14ac:dyDescent="0.35">
      <c r="A259" t="s">
        <v>284</v>
      </c>
      <c r="B259" s="1">
        <v>45529</v>
      </c>
      <c r="C259" t="s">
        <v>21</v>
      </c>
      <c r="D259" t="s">
        <v>28</v>
      </c>
      <c r="E259" t="s">
        <v>18</v>
      </c>
      <c r="F259" t="s">
        <v>19</v>
      </c>
      <c r="G259" s="2">
        <v>148405</v>
      </c>
      <c r="H259">
        <v>1</v>
      </c>
      <c r="I259" s="3">
        <v>0.05</v>
      </c>
      <c r="J259" s="2">
        <v>11129.1</v>
      </c>
    </row>
    <row r="260" spans="1:10" x14ac:dyDescent="0.35">
      <c r="A260" t="s">
        <v>285</v>
      </c>
      <c r="B260" s="1">
        <v>45368</v>
      </c>
      <c r="C260" t="s">
        <v>16</v>
      </c>
      <c r="D260" t="s">
        <v>12</v>
      </c>
      <c r="E260" t="s">
        <v>23</v>
      </c>
      <c r="F260" t="s">
        <v>14</v>
      </c>
      <c r="G260" s="2">
        <v>60646</v>
      </c>
      <c r="H260">
        <v>2</v>
      </c>
      <c r="I260" s="3">
        <v>0.15</v>
      </c>
      <c r="J260" s="2">
        <v>-5299.3</v>
      </c>
    </row>
    <row r="261" spans="1:10" x14ac:dyDescent="0.35">
      <c r="A261" t="s">
        <v>286</v>
      </c>
      <c r="B261" s="1">
        <v>45391</v>
      </c>
      <c r="C261" t="s">
        <v>11</v>
      </c>
      <c r="D261" t="s">
        <v>28</v>
      </c>
      <c r="E261" t="s">
        <v>18</v>
      </c>
      <c r="F261" t="s">
        <v>14</v>
      </c>
      <c r="G261" s="2">
        <v>51315</v>
      </c>
      <c r="H261">
        <v>6</v>
      </c>
      <c r="I261" s="3">
        <v>0.1</v>
      </c>
      <c r="J261" s="2">
        <v>-575.70000000000005</v>
      </c>
    </row>
    <row r="262" spans="1:10" x14ac:dyDescent="0.35">
      <c r="A262" t="s">
        <v>287</v>
      </c>
      <c r="B262" s="1">
        <v>45426</v>
      </c>
      <c r="C262" t="s">
        <v>16</v>
      </c>
      <c r="D262" t="s">
        <v>28</v>
      </c>
      <c r="E262" t="s">
        <v>18</v>
      </c>
      <c r="F262" t="s">
        <v>24</v>
      </c>
      <c r="G262" s="2">
        <v>135706</v>
      </c>
      <c r="H262">
        <v>5</v>
      </c>
      <c r="I262" s="3">
        <v>0.15</v>
      </c>
      <c r="J262" s="2">
        <v>3074.44</v>
      </c>
    </row>
    <row r="263" spans="1:10" x14ac:dyDescent="0.35">
      <c r="A263" t="s">
        <v>288</v>
      </c>
      <c r="B263" s="1">
        <v>45386</v>
      </c>
      <c r="C263" t="s">
        <v>11</v>
      </c>
      <c r="D263" t="s">
        <v>22</v>
      </c>
      <c r="E263" t="s">
        <v>18</v>
      </c>
      <c r="F263" t="s">
        <v>26</v>
      </c>
      <c r="G263" s="2">
        <v>131314</v>
      </c>
      <c r="H263">
        <v>2</v>
      </c>
      <c r="I263" s="3">
        <v>0.15</v>
      </c>
      <c r="J263" s="2">
        <v>-4499.6000000000004</v>
      </c>
    </row>
    <row r="264" spans="1:10" x14ac:dyDescent="0.35">
      <c r="A264" t="s">
        <v>289</v>
      </c>
      <c r="B264" s="1">
        <v>45648</v>
      </c>
      <c r="C264" t="s">
        <v>16</v>
      </c>
      <c r="D264" t="s">
        <v>17</v>
      </c>
      <c r="E264" t="s">
        <v>18</v>
      </c>
      <c r="F264" t="s">
        <v>24</v>
      </c>
      <c r="G264" s="2">
        <v>68988</v>
      </c>
      <c r="H264">
        <v>9</v>
      </c>
      <c r="I264" s="3">
        <v>0.15</v>
      </c>
      <c r="J264" s="2">
        <v>2417.94</v>
      </c>
    </row>
    <row r="265" spans="1:10" x14ac:dyDescent="0.35">
      <c r="A265" t="s">
        <v>290</v>
      </c>
      <c r="B265" s="1">
        <v>45479</v>
      </c>
      <c r="C265" t="s">
        <v>21</v>
      </c>
      <c r="D265" t="s">
        <v>17</v>
      </c>
      <c r="E265" t="s">
        <v>13</v>
      </c>
      <c r="F265" t="s">
        <v>33</v>
      </c>
      <c r="G265" s="2">
        <v>106586</v>
      </c>
      <c r="H265">
        <v>1</v>
      </c>
      <c r="I265" s="3">
        <v>0.05</v>
      </c>
      <c r="J265" s="2">
        <v>10697.2</v>
      </c>
    </row>
    <row r="266" spans="1:10" x14ac:dyDescent="0.35">
      <c r="A266" t="s">
        <v>291</v>
      </c>
      <c r="B266" s="1">
        <v>45477</v>
      </c>
      <c r="C266" t="s">
        <v>11</v>
      </c>
      <c r="D266" t="s">
        <v>12</v>
      </c>
      <c r="E266" t="s">
        <v>13</v>
      </c>
      <c r="F266" t="s">
        <v>26</v>
      </c>
      <c r="G266" s="2">
        <v>95059</v>
      </c>
      <c r="H266">
        <v>5</v>
      </c>
      <c r="I266" s="3">
        <v>0.05</v>
      </c>
      <c r="J266" s="2">
        <v>7563.04</v>
      </c>
    </row>
    <row r="267" spans="1:10" x14ac:dyDescent="0.35">
      <c r="A267" t="s">
        <v>292</v>
      </c>
      <c r="B267" s="1">
        <v>45520</v>
      </c>
      <c r="C267" t="s">
        <v>16</v>
      </c>
      <c r="D267" t="s">
        <v>28</v>
      </c>
      <c r="E267" t="s">
        <v>13</v>
      </c>
      <c r="F267" t="s">
        <v>33</v>
      </c>
      <c r="G267" s="2">
        <v>106088</v>
      </c>
      <c r="H267">
        <v>2</v>
      </c>
      <c r="I267" s="3">
        <v>0.05</v>
      </c>
      <c r="J267" s="2">
        <v>20038.310000000001</v>
      </c>
    </row>
    <row r="268" spans="1:10" x14ac:dyDescent="0.35">
      <c r="A268" t="s">
        <v>293</v>
      </c>
      <c r="B268" s="1">
        <v>45546</v>
      </c>
      <c r="C268" t="s">
        <v>16</v>
      </c>
      <c r="D268" t="s">
        <v>12</v>
      </c>
      <c r="E268" t="s">
        <v>23</v>
      </c>
      <c r="F268" t="s">
        <v>31</v>
      </c>
      <c r="G268" s="2">
        <v>58800</v>
      </c>
      <c r="H268">
        <v>7</v>
      </c>
      <c r="I268" s="3">
        <v>0.1</v>
      </c>
      <c r="J268" s="2">
        <v>7254.72</v>
      </c>
    </row>
    <row r="269" spans="1:10" x14ac:dyDescent="0.35">
      <c r="A269" t="s">
        <v>294</v>
      </c>
      <c r="B269" s="1">
        <v>45575</v>
      </c>
      <c r="C269" t="s">
        <v>21</v>
      </c>
      <c r="D269" t="s">
        <v>12</v>
      </c>
      <c r="E269" t="s">
        <v>23</v>
      </c>
      <c r="F269" t="s">
        <v>33</v>
      </c>
      <c r="G269" s="2">
        <v>126747</v>
      </c>
      <c r="H269">
        <v>7</v>
      </c>
      <c r="I269" s="3">
        <v>0.15</v>
      </c>
      <c r="J269" s="2">
        <v>-6382.97</v>
      </c>
    </row>
    <row r="270" spans="1:10" x14ac:dyDescent="0.35">
      <c r="A270" t="s">
        <v>295</v>
      </c>
      <c r="B270" s="1">
        <v>45354</v>
      </c>
      <c r="C270" t="s">
        <v>11</v>
      </c>
      <c r="D270" t="s">
        <v>12</v>
      </c>
      <c r="E270" t="s">
        <v>13</v>
      </c>
      <c r="F270" t="s">
        <v>24</v>
      </c>
      <c r="G270" s="2">
        <v>136036</v>
      </c>
      <c r="H270">
        <v>9</v>
      </c>
      <c r="I270" s="3">
        <v>0.05</v>
      </c>
      <c r="J270" s="2">
        <v>2423.11</v>
      </c>
    </row>
    <row r="271" spans="1:10" x14ac:dyDescent="0.35">
      <c r="A271" t="s">
        <v>296</v>
      </c>
      <c r="B271" s="1">
        <v>45567</v>
      </c>
      <c r="C271" t="s">
        <v>16</v>
      </c>
      <c r="D271" t="s">
        <v>17</v>
      </c>
      <c r="E271" t="s">
        <v>13</v>
      </c>
      <c r="F271" t="s">
        <v>31</v>
      </c>
      <c r="G271" s="2">
        <v>26810</v>
      </c>
      <c r="H271">
        <v>2</v>
      </c>
      <c r="I271" s="3">
        <v>0</v>
      </c>
      <c r="J271" s="2">
        <v>3649.72</v>
      </c>
    </row>
    <row r="272" spans="1:10" x14ac:dyDescent="0.35">
      <c r="A272" t="s">
        <v>297</v>
      </c>
      <c r="B272" s="1">
        <v>45589</v>
      </c>
      <c r="C272" t="s">
        <v>16</v>
      </c>
      <c r="D272" t="s">
        <v>28</v>
      </c>
      <c r="E272" t="s">
        <v>13</v>
      </c>
      <c r="F272" t="s">
        <v>19</v>
      </c>
      <c r="G272" s="2">
        <v>13429</v>
      </c>
      <c r="H272">
        <v>4</v>
      </c>
      <c r="I272" s="3">
        <v>0</v>
      </c>
      <c r="J272" s="2">
        <v>2413.44</v>
      </c>
    </row>
    <row r="273" spans="1:10" x14ac:dyDescent="0.35">
      <c r="A273" t="s">
        <v>298</v>
      </c>
      <c r="B273" s="1">
        <v>45393</v>
      </c>
      <c r="C273" t="s">
        <v>11</v>
      </c>
      <c r="D273" t="s">
        <v>28</v>
      </c>
      <c r="E273" t="s">
        <v>13</v>
      </c>
      <c r="F273" t="s">
        <v>24</v>
      </c>
      <c r="G273" s="2">
        <v>59506</v>
      </c>
      <c r="H273">
        <v>3</v>
      </c>
      <c r="I273" s="3">
        <v>0.05</v>
      </c>
      <c r="J273" s="2">
        <v>5394.5</v>
      </c>
    </row>
    <row r="274" spans="1:10" x14ac:dyDescent="0.35">
      <c r="A274" t="s">
        <v>299</v>
      </c>
      <c r="B274" s="1">
        <v>45346</v>
      </c>
      <c r="C274" t="s">
        <v>21</v>
      </c>
      <c r="D274" t="s">
        <v>12</v>
      </c>
      <c r="E274" t="s">
        <v>23</v>
      </c>
      <c r="F274" t="s">
        <v>31</v>
      </c>
      <c r="G274" s="2">
        <v>18912</v>
      </c>
      <c r="H274">
        <v>2</v>
      </c>
      <c r="I274" s="3">
        <v>0</v>
      </c>
      <c r="J274" s="2">
        <v>2809.21</v>
      </c>
    </row>
    <row r="275" spans="1:10" x14ac:dyDescent="0.35">
      <c r="A275" t="s">
        <v>300</v>
      </c>
      <c r="B275" s="1">
        <v>45507</v>
      </c>
      <c r="C275" t="s">
        <v>16</v>
      </c>
      <c r="D275" t="s">
        <v>12</v>
      </c>
      <c r="E275" t="s">
        <v>13</v>
      </c>
      <c r="F275" t="s">
        <v>26</v>
      </c>
      <c r="G275" s="2">
        <v>142817</v>
      </c>
      <c r="H275">
        <v>5</v>
      </c>
      <c r="I275" s="3">
        <v>0.15</v>
      </c>
      <c r="J275" s="2">
        <v>-9361.07</v>
      </c>
    </row>
    <row r="276" spans="1:10" x14ac:dyDescent="0.35">
      <c r="A276" t="s">
        <v>301</v>
      </c>
      <c r="B276" s="1">
        <v>45340</v>
      </c>
      <c r="C276" t="s">
        <v>16</v>
      </c>
      <c r="D276" t="s">
        <v>28</v>
      </c>
      <c r="E276" t="s">
        <v>13</v>
      </c>
      <c r="F276" t="s">
        <v>31</v>
      </c>
      <c r="G276" s="2">
        <v>55592</v>
      </c>
      <c r="H276">
        <v>10</v>
      </c>
      <c r="I276" s="3">
        <v>0.05</v>
      </c>
      <c r="J276" s="2">
        <v>8934.2000000000007</v>
      </c>
    </row>
    <row r="277" spans="1:10" x14ac:dyDescent="0.35">
      <c r="A277" t="s">
        <v>302</v>
      </c>
      <c r="B277" s="1">
        <v>45584</v>
      </c>
      <c r="C277" t="s">
        <v>11</v>
      </c>
      <c r="D277" t="s">
        <v>17</v>
      </c>
      <c r="E277" t="s">
        <v>23</v>
      </c>
      <c r="F277" t="s">
        <v>14</v>
      </c>
      <c r="G277" s="2">
        <v>74796</v>
      </c>
      <c r="H277">
        <v>1</v>
      </c>
      <c r="I277" s="3">
        <v>0</v>
      </c>
      <c r="J277" s="2">
        <v>9490.69</v>
      </c>
    </row>
    <row r="278" spans="1:10" x14ac:dyDescent="0.35">
      <c r="A278" t="s">
        <v>303</v>
      </c>
      <c r="B278" s="1">
        <v>45649</v>
      </c>
      <c r="C278" t="s">
        <v>11</v>
      </c>
      <c r="D278" t="s">
        <v>17</v>
      </c>
      <c r="E278" t="s">
        <v>23</v>
      </c>
      <c r="F278" t="s">
        <v>26</v>
      </c>
      <c r="G278" s="2">
        <v>132811</v>
      </c>
      <c r="H278">
        <v>2</v>
      </c>
      <c r="I278" s="3">
        <v>0.05</v>
      </c>
      <c r="J278" s="2">
        <v>15576.78</v>
      </c>
    </row>
    <row r="279" spans="1:10" x14ac:dyDescent="0.35">
      <c r="A279" t="s">
        <v>304</v>
      </c>
      <c r="B279" s="1">
        <v>45550</v>
      </c>
      <c r="C279" t="s">
        <v>21</v>
      </c>
      <c r="D279" t="s">
        <v>17</v>
      </c>
      <c r="E279" t="s">
        <v>23</v>
      </c>
      <c r="F279" t="s">
        <v>24</v>
      </c>
      <c r="G279" s="2">
        <v>149287</v>
      </c>
      <c r="H279">
        <v>4</v>
      </c>
      <c r="I279" s="3">
        <v>0.05</v>
      </c>
      <c r="J279" s="2">
        <v>10555.18</v>
      </c>
    </row>
    <row r="280" spans="1:10" x14ac:dyDescent="0.35">
      <c r="A280" t="s">
        <v>305</v>
      </c>
      <c r="B280" s="1">
        <v>45394</v>
      </c>
      <c r="C280" t="s">
        <v>11</v>
      </c>
      <c r="D280" t="s">
        <v>28</v>
      </c>
      <c r="E280" t="s">
        <v>23</v>
      </c>
      <c r="F280" t="s">
        <v>26</v>
      </c>
      <c r="G280" s="2">
        <v>49578</v>
      </c>
      <c r="H280">
        <v>7</v>
      </c>
      <c r="I280" s="3">
        <v>0.05</v>
      </c>
      <c r="J280" s="2">
        <v>8657.16</v>
      </c>
    </row>
    <row r="281" spans="1:10" x14ac:dyDescent="0.35">
      <c r="A281" t="s">
        <v>306</v>
      </c>
      <c r="B281" s="1">
        <v>45574</v>
      </c>
      <c r="C281" t="s">
        <v>16</v>
      </c>
      <c r="D281" t="s">
        <v>17</v>
      </c>
      <c r="E281" t="s">
        <v>23</v>
      </c>
      <c r="F281" t="s">
        <v>26</v>
      </c>
      <c r="G281" s="2">
        <v>72121</v>
      </c>
      <c r="H281">
        <v>7</v>
      </c>
      <c r="I281" s="3">
        <v>0</v>
      </c>
      <c r="J281" s="2">
        <v>10713.86</v>
      </c>
    </row>
    <row r="282" spans="1:10" x14ac:dyDescent="0.35">
      <c r="A282" t="s">
        <v>307</v>
      </c>
      <c r="B282" s="1">
        <v>45616</v>
      </c>
      <c r="C282" t="s">
        <v>21</v>
      </c>
      <c r="D282" t="s">
        <v>22</v>
      </c>
      <c r="E282" t="s">
        <v>13</v>
      </c>
      <c r="F282" t="s">
        <v>19</v>
      </c>
      <c r="G282" s="2">
        <v>20712</v>
      </c>
      <c r="H282">
        <v>7</v>
      </c>
      <c r="I282" s="3">
        <v>0</v>
      </c>
      <c r="J282" s="2">
        <v>1371.66</v>
      </c>
    </row>
    <row r="283" spans="1:10" x14ac:dyDescent="0.35">
      <c r="A283" t="s">
        <v>308</v>
      </c>
      <c r="B283" s="1">
        <v>45349</v>
      </c>
      <c r="C283" t="s">
        <v>11</v>
      </c>
      <c r="D283" t="s">
        <v>28</v>
      </c>
      <c r="E283" t="s">
        <v>13</v>
      </c>
      <c r="F283" t="s">
        <v>19</v>
      </c>
      <c r="G283" s="2">
        <v>113403</v>
      </c>
      <c r="H283">
        <v>3</v>
      </c>
      <c r="I283" s="3">
        <v>0.1</v>
      </c>
      <c r="J283" s="2">
        <v>16807.849999999999</v>
      </c>
    </row>
    <row r="284" spans="1:10" x14ac:dyDescent="0.35">
      <c r="A284" t="s">
        <v>309</v>
      </c>
      <c r="B284" s="1">
        <v>45325</v>
      </c>
      <c r="C284" t="s">
        <v>16</v>
      </c>
      <c r="D284" t="s">
        <v>17</v>
      </c>
      <c r="E284" t="s">
        <v>13</v>
      </c>
      <c r="F284" t="s">
        <v>19</v>
      </c>
      <c r="G284" s="2">
        <v>53267</v>
      </c>
      <c r="H284">
        <v>2</v>
      </c>
      <c r="I284" s="3">
        <v>0</v>
      </c>
      <c r="J284" s="2">
        <v>11517.38</v>
      </c>
    </row>
    <row r="285" spans="1:10" x14ac:dyDescent="0.35">
      <c r="A285" t="s">
        <v>310</v>
      </c>
      <c r="B285" s="1">
        <v>45577</v>
      </c>
      <c r="C285" t="s">
        <v>21</v>
      </c>
      <c r="D285" t="s">
        <v>22</v>
      </c>
      <c r="E285" t="s">
        <v>18</v>
      </c>
      <c r="F285" t="s">
        <v>40</v>
      </c>
      <c r="G285" s="2">
        <v>149480</v>
      </c>
      <c r="H285">
        <v>7</v>
      </c>
      <c r="I285" s="3">
        <v>0</v>
      </c>
      <c r="J285" s="2">
        <v>33963.230000000003</v>
      </c>
    </row>
    <row r="286" spans="1:10" x14ac:dyDescent="0.35">
      <c r="A286" t="s">
        <v>311</v>
      </c>
      <c r="B286" s="1">
        <v>45622</v>
      </c>
      <c r="C286" t="s">
        <v>11</v>
      </c>
      <c r="D286" t="s">
        <v>12</v>
      </c>
      <c r="E286" t="s">
        <v>18</v>
      </c>
      <c r="F286" t="s">
        <v>40</v>
      </c>
      <c r="G286" s="2">
        <v>55359</v>
      </c>
      <c r="H286">
        <v>7</v>
      </c>
      <c r="I286" s="3">
        <v>0</v>
      </c>
      <c r="J286" s="2">
        <v>5161.99</v>
      </c>
    </row>
    <row r="287" spans="1:10" x14ac:dyDescent="0.35">
      <c r="A287" t="s">
        <v>312</v>
      </c>
      <c r="B287" s="1">
        <v>45403</v>
      </c>
      <c r="C287" t="s">
        <v>11</v>
      </c>
      <c r="D287" t="s">
        <v>28</v>
      </c>
      <c r="E287" t="s">
        <v>23</v>
      </c>
      <c r="F287" t="s">
        <v>40</v>
      </c>
      <c r="G287" s="2">
        <v>9346</v>
      </c>
      <c r="H287">
        <v>1</v>
      </c>
      <c r="I287" s="3">
        <v>0</v>
      </c>
      <c r="J287" s="2">
        <v>923.33</v>
      </c>
    </row>
    <row r="288" spans="1:10" x14ac:dyDescent="0.35">
      <c r="A288" t="s">
        <v>313</v>
      </c>
      <c r="B288" s="1">
        <v>45415</v>
      </c>
      <c r="C288" t="s">
        <v>16</v>
      </c>
      <c r="D288" t="s">
        <v>22</v>
      </c>
      <c r="E288" t="s">
        <v>23</v>
      </c>
      <c r="F288" t="s">
        <v>19</v>
      </c>
      <c r="G288" s="2">
        <v>51523</v>
      </c>
      <c r="H288">
        <v>4</v>
      </c>
      <c r="I288" s="3">
        <v>0</v>
      </c>
      <c r="J288" s="2">
        <v>10198.530000000001</v>
      </c>
    </row>
    <row r="289" spans="1:10" x14ac:dyDescent="0.35">
      <c r="A289" t="s">
        <v>314</v>
      </c>
      <c r="B289" s="1">
        <v>45627</v>
      </c>
      <c r="C289" t="s">
        <v>21</v>
      </c>
      <c r="D289" t="s">
        <v>12</v>
      </c>
      <c r="E289" t="s">
        <v>18</v>
      </c>
      <c r="F289" t="s">
        <v>33</v>
      </c>
      <c r="G289" s="2">
        <v>104674</v>
      </c>
      <c r="H289">
        <v>10</v>
      </c>
      <c r="I289" s="3">
        <v>0.05</v>
      </c>
      <c r="J289" s="2">
        <v>11474.1</v>
      </c>
    </row>
    <row r="290" spans="1:10" x14ac:dyDescent="0.35">
      <c r="A290" t="s">
        <v>315</v>
      </c>
      <c r="B290" s="1">
        <v>45352</v>
      </c>
      <c r="C290" t="s">
        <v>21</v>
      </c>
      <c r="D290" t="s">
        <v>28</v>
      </c>
      <c r="E290" t="s">
        <v>13</v>
      </c>
      <c r="F290" t="s">
        <v>26</v>
      </c>
      <c r="G290" s="2">
        <v>64997</v>
      </c>
      <c r="H290">
        <v>7</v>
      </c>
      <c r="I290" s="3">
        <v>0.05</v>
      </c>
      <c r="J290" s="2">
        <v>3412.1</v>
      </c>
    </row>
    <row r="291" spans="1:10" x14ac:dyDescent="0.35">
      <c r="A291" t="s">
        <v>316</v>
      </c>
      <c r="B291" s="1">
        <v>45453</v>
      </c>
      <c r="C291" t="s">
        <v>16</v>
      </c>
      <c r="D291" t="s">
        <v>12</v>
      </c>
      <c r="E291" t="s">
        <v>23</v>
      </c>
      <c r="F291" t="s">
        <v>26</v>
      </c>
      <c r="G291" s="2">
        <v>109152</v>
      </c>
      <c r="H291">
        <v>2</v>
      </c>
      <c r="I291" s="3">
        <v>0.05</v>
      </c>
      <c r="J291" s="2">
        <v>11545.3</v>
      </c>
    </row>
    <row r="292" spans="1:10" x14ac:dyDescent="0.35">
      <c r="A292" t="s">
        <v>317</v>
      </c>
      <c r="B292" s="1">
        <v>45292</v>
      </c>
      <c r="C292" t="s">
        <v>21</v>
      </c>
      <c r="D292" t="s">
        <v>12</v>
      </c>
      <c r="E292" t="s">
        <v>18</v>
      </c>
      <c r="F292" t="s">
        <v>14</v>
      </c>
      <c r="G292" s="2">
        <v>70691</v>
      </c>
      <c r="H292">
        <v>5</v>
      </c>
      <c r="I292" s="3">
        <v>0</v>
      </c>
      <c r="J292" s="2">
        <v>17008.43</v>
      </c>
    </row>
    <row r="293" spans="1:10" x14ac:dyDescent="0.35">
      <c r="A293" t="s">
        <v>318</v>
      </c>
      <c r="B293" s="1">
        <v>45499</v>
      </c>
      <c r="C293" t="s">
        <v>21</v>
      </c>
      <c r="D293" t="s">
        <v>12</v>
      </c>
      <c r="E293" t="s">
        <v>18</v>
      </c>
      <c r="F293" t="s">
        <v>31</v>
      </c>
      <c r="G293" s="2">
        <v>38132</v>
      </c>
      <c r="H293">
        <v>3</v>
      </c>
      <c r="I293" s="3">
        <v>0</v>
      </c>
      <c r="J293" s="2">
        <v>7506.16</v>
      </c>
    </row>
    <row r="294" spans="1:10" x14ac:dyDescent="0.35">
      <c r="A294" t="s">
        <v>319</v>
      </c>
      <c r="B294" s="1">
        <v>45383</v>
      </c>
      <c r="C294" t="s">
        <v>16</v>
      </c>
      <c r="D294" t="s">
        <v>17</v>
      </c>
      <c r="E294" t="s">
        <v>23</v>
      </c>
      <c r="F294" t="s">
        <v>24</v>
      </c>
      <c r="G294" s="2">
        <v>56705</v>
      </c>
      <c r="H294">
        <v>2</v>
      </c>
      <c r="I294" s="3">
        <v>0</v>
      </c>
      <c r="J294" s="2">
        <v>9130.2999999999993</v>
      </c>
    </row>
    <row r="295" spans="1:10" x14ac:dyDescent="0.35">
      <c r="A295" t="s">
        <v>320</v>
      </c>
      <c r="B295" s="1">
        <v>45629</v>
      </c>
      <c r="C295" t="s">
        <v>21</v>
      </c>
      <c r="D295" t="s">
        <v>28</v>
      </c>
      <c r="E295" t="s">
        <v>13</v>
      </c>
      <c r="F295" t="s">
        <v>33</v>
      </c>
      <c r="G295" s="2">
        <v>57000</v>
      </c>
      <c r="H295">
        <v>10</v>
      </c>
      <c r="I295" s="3">
        <v>0.05</v>
      </c>
      <c r="J295" s="2">
        <v>7044.58</v>
      </c>
    </row>
    <row r="296" spans="1:10" x14ac:dyDescent="0.35">
      <c r="A296" t="s">
        <v>321</v>
      </c>
      <c r="B296" s="1">
        <v>45531</v>
      </c>
      <c r="C296" t="s">
        <v>11</v>
      </c>
      <c r="D296" t="s">
        <v>17</v>
      </c>
      <c r="E296" t="s">
        <v>18</v>
      </c>
      <c r="F296" t="s">
        <v>24</v>
      </c>
      <c r="G296" s="2">
        <v>95957</v>
      </c>
      <c r="H296">
        <v>3</v>
      </c>
      <c r="I296" s="3">
        <v>0</v>
      </c>
      <c r="J296" s="2">
        <v>19859.54</v>
      </c>
    </row>
    <row r="297" spans="1:10" x14ac:dyDescent="0.35">
      <c r="A297" t="s">
        <v>322</v>
      </c>
      <c r="B297" s="1">
        <v>45296</v>
      </c>
      <c r="C297" t="s">
        <v>16</v>
      </c>
      <c r="D297" t="s">
        <v>22</v>
      </c>
      <c r="E297" t="s">
        <v>23</v>
      </c>
      <c r="F297" t="s">
        <v>33</v>
      </c>
      <c r="G297" s="2">
        <v>120303</v>
      </c>
      <c r="H297">
        <v>10</v>
      </c>
      <c r="I297" s="3">
        <v>0.1</v>
      </c>
      <c r="J297" s="2">
        <v>10430.51</v>
      </c>
    </row>
    <row r="298" spans="1:10" x14ac:dyDescent="0.35">
      <c r="A298" t="s">
        <v>323</v>
      </c>
      <c r="B298" s="1">
        <v>45643</v>
      </c>
      <c r="C298" t="s">
        <v>21</v>
      </c>
      <c r="D298" t="s">
        <v>22</v>
      </c>
      <c r="E298" t="s">
        <v>18</v>
      </c>
      <c r="F298" t="s">
        <v>33</v>
      </c>
      <c r="G298" s="2">
        <v>56609</v>
      </c>
      <c r="H298">
        <v>6</v>
      </c>
      <c r="I298" s="3">
        <v>0.05</v>
      </c>
      <c r="J298" s="2">
        <v>7215.55</v>
      </c>
    </row>
    <row r="299" spans="1:10" x14ac:dyDescent="0.35">
      <c r="A299" t="s">
        <v>324</v>
      </c>
      <c r="B299" s="1">
        <v>45429</v>
      </c>
      <c r="C299" t="s">
        <v>21</v>
      </c>
      <c r="D299" t="s">
        <v>22</v>
      </c>
      <c r="E299" t="s">
        <v>23</v>
      </c>
      <c r="F299" t="s">
        <v>19</v>
      </c>
      <c r="G299" s="2">
        <v>139188</v>
      </c>
      <c r="H299">
        <v>9</v>
      </c>
      <c r="I299" s="3">
        <v>0</v>
      </c>
      <c r="J299" s="2">
        <v>32332.71</v>
      </c>
    </row>
    <row r="300" spans="1:10" x14ac:dyDescent="0.35">
      <c r="A300" t="s">
        <v>325</v>
      </c>
      <c r="B300" s="1">
        <v>45307</v>
      </c>
      <c r="C300" t="s">
        <v>11</v>
      </c>
      <c r="D300" t="s">
        <v>17</v>
      </c>
      <c r="E300" t="s">
        <v>13</v>
      </c>
      <c r="F300" t="s">
        <v>24</v>
      </c>
      <c r="G300" s="2">
        <v>105184</v>
      </c>
      <c r="H300">
        <v>6</v>
      </c>
      <c r="I300" s="3">
        <v>0.05</v>
      </c>
      <c r="J300" s="2">
        <v>495.38</v>
      </c>
    </row>
    <row r="301" spans="1:10" x14ac:dyDescent="0.35">
      <c r="A301" t="s">
        <v>326</v>
      </c>
      <c r="B301" s="1">
        <v>45510</v>
      </c>
      <c r="C301" t="s">
        <v>16</v>
      </c>
      <c r="D301" t="s">
        <v>12</v>
      </c>
      <c r="E301" t="s">
        <v>23</v>
      </c>
      <c r="F301" t="s">
        <v>31</v>
      </c>
      <c r="G301" s="2">
        <v>67743</v>
      </c>
      <c r="H301">
        <v>5</v>
      </c>
      <c r="I301" s="3">
        <v>0.1</v>
      </c>
      <c r="J301" s="2">
        <v>5808.01</v>
      </c>
    </row>
    <row r="302" spans="1:10" x14ac:dyDescent="0.35">
      <c r="A302" t="s">
        <v>327</v>
      </c>
      <c r="B302" s="1">
        <v>45427</v>
      </c>
      <c r="C302" t="s">
        <v>21</v>
      </c>
      <c r="D302" t="s">
        <v>17</v>
      </c>
      <c r="E302" t="s">
        <v>18</v>
      </c>
      <c r="F302" t="s">
        <v>33</v>
      </c>
      <c r="G302" s="2">
        <v>42980</v>
      </c>
      <c r="H302">
        <v>7</v>
      </c>
      <c r="I302" s="3">
        <v>0.05</v>
      </c>
      <c r="J302" s="2">
        <v>3349.43</v>
      </c>
    </row>
    <row r="303" spans="1:10" x14ac:dyDescent="0.35">
      <c r="A303" t="s">
        <v>328</v>
      </c>
      <c r="B303" s="1">
        <v>45336</v>
      </c>
      <c r="C303" t="s">
        <v>21</v>
      </c>
      <c r="D303" t="s">
        <v>12</v>
      </c>
      <c r="E303" t="s">
        <v>18</v>
      </c>
      <c r="F303" t="s">
        <v>19</v>
      </c>
      <c r="G303" s="2">
        <v>24221</v>
      </c>
      <c r="H303">
        <v>1</v>
      </c>
      <c r="I303" s="3">
        <v>0.1</v>
      </c>
      <c r="J303" s="2">
        <v>1041.29</v>
      </c>
    </row>
    <row r="304" spans="1:10" x14ac:dyDescent="0.35">
      <c r="A304" t="s">
        <v>329</v>
      </c>
      <c r="B304" s="1">
        <v>45370</v>
      </c>
      <c r="C304" t="s">
        <v>11</v>
      </c>
      <c r="D304" t="s">
        <v>12</v>
      </c>
      <c r="E304" t="s">
        <v>13</v>
      </c>
      <c r="F304" t="s">
        <v>14</v>
      </c>
      <c r="G304" s="2">
        <v>13535</v>
      </c>
      <c r="H304">
        <v>6</v>
      </c>
      <c r="I304" s="3">
        <v>0</v>
      </c>
      <c r="J304" s="2">
        <v>2087.42</v>
      </c>
    </row>
    <row r="305" spans="1:10" x14ac:dyDescent="0.35">
      <c r="A305" t="s">
        <v>330</v>
      </c>
      <c r="B305" s="1">
        <v>45553</v>
      </c>
      <c r="C305" t="s">
        <v>16</v>
      </c>
      <c r="D305" t="s">
        <v>28</v>
      </c>
      <c r="E305" t="s">
        <v>13</v>
      </c>
      <c r="F305" t="s">
        <v>26</v>
      </c>
      <c r="G305" s="2">
        <v>29609</v>
      </c>
      <c r="H305">
        <v>4</v>
      </c>
      <c r="I305" s="3">
        <v>0.15</v>
      </c>
      <c r="J305" s="2">
        <v>-2508.54</v>
      </c>
    </row>
    <row r="306" spans="1:10" x14ac:dyDescent="0.35">
      <c r="A306" t="s">
        <v>331</v>
      </c>
      <c r="B306" s="1">
        <v>45578</v>
      </c>
      <c r="C306" t="s">
        <v>21</v>
      </c>
      <c r="D306" t="s">
        <v>28</v>
      </c>
      <c r="E306" t="s">
        <v>18</v>
      </c>
      <c r="F306" t="s">
        <v>19</v>
      </c>
      <c r="G306" s="2">
        <v>60319</v>
      </c>
      <c r="H306">
        <v>1</v>
      </c>
      <c r="I306" s="3">
        <v>0.15</v>
      </c>
      <c r="J306" s="2">
        <v>-3583.12</v>
      </c>
    </row>
    <row r="307" spans="1:10" x14ac:dyDescent="0.35">
      <c r="A307" t="s">
        <v>332</v>
      </c>
      <c r="B307" s="1">
        <v>45296</v>
      </c>
      <c r="C307" t="s">
        <v>21</v>
      </c>
      <c r="D307" t="s">
        <v>17</v>
      </c>
      <c r="E307" t="s">
        <v>13</v>
      </c>
      <c r="F307" t="s">
        <v>33</v>
      </c>
      <c r="G307" s="2">
        <v>7739</v>
      </c>
      <c r="H307">
        <v>9</v>
      </c>
      <c r="I307" s="3">
        <v>0.05</v>
      </c>
      <c r="J307" s="2">
        <v>94.28</v>
      </c>
    </row>
    <row r="308" spans="1:10" x14ac:dyDescent="0.35">
      <c r="A308" t="s">
        <v>333</v>
      </c>
      <c r="B308" s="1">
        <v>45648</v>
      </c>
      <c r="C308" t="s">
        <v>21</v>
      </c>
      <c r="D308" t="s">
        <v>17</v>
      </c>
      <c r="E308" t="s">
        <v>13</v>
      </c>
      <c r="F308" t="s">
        <v>24</v>
      </c>
      <c r="G308" s="2">
        <v>71787</v>
      </c>
      <c r="H308">
        <v>2</v>
      </c>
      <c r="I308" s="3">
        <v>0.15</v>
      </c>
      <c r="J308" s="2">
        <v>2251.17</v>
      </c>
    </row>
    <row r="309" spans="1:10" x14ac:dyDescent="0.35">
      <c r="A309" t="s">
        <v>334</v>
      </c>
      <c r="B309" s="1">
        <v>45448</v>
      </c>
      <c r="C309" t="s">
        <v>21</v>
      </c>
      <c r="D309" t="s">
        <v>12</v>
      </c>
      <c r="E309" t="s">
        <v>18</v>
      </c>
      <c r="F309" t="s">
        <v>31</v>
      </c>
      <c r="G309" s="2">
        <v>126739</v>
      </c>
      <c r="H309">
        <v>10</v>
      </c>
      <c r="I309" s="3">
        <v>0</v>
      </c>
      <c r="J309" s="2">
        <v>18401.900000000001</v>
      </c>
    </row>
    <row r="310" spans="1:10" x14ac:dyDescent="0.35">
      <c r="A310" t="s">
        <v>335</v>
      </c>
      <c r="B310" s="1">
        <v>45439</v>
      </c>
      <c r="C310" t="s">
        <v>11</v>
      </c>
      <c r="D310" t="s">
        <v>12</v>
      </c>
      <c r="E310" t="s">
        <v>18</v>
      </c>
      <c r="F310" t="s">
        <v>33</v>
      </c>
      <c r="G310" s="2">
        <v>82671</v>
      </c>
      <c r="H310">
        <v>7</v>
      </c>
      <c r="I310" s="3">
        <v>0.05</v>
      </c>
      <c r="J310" s="2">
        <v>1578.23</v>
      </c>
    </row>
    <row r="311" spans="1:10" x14ac:dyDescent="0.35">
      <c r="A311" t="s">
        <v>336</v>
      </c>
      <c r="B311" s="1">
        <v>45609</v>
      </c>
      <c r="C311" t="s">
        <v>16</v>
      </c>
      <c r="D311" t="s">
        <v>22</v>
      </c>
      <c r="E311" t="s">
        <v>13</v>
      </c>
      <c r="F311" t="s">
        <v>19</v>
      </c>
      <c r="G311" s="2">
        <v>135115</v>
      </c>
      <c r="H311">
        <v>9</v>
      </c>
      <c r="I311" s="3">
        <v>0</v>
      </c>
      <c r="J311" s="2">
        <v>24592.51</v>
      </c>
    </row>
    <row r="312" spans="1:10" x14ac:dyDescent="0.35">
      <c r="A312" t="s">
        <v>337</v>
      </c>
      <c r="B312" s="1">
        <v>45605</v>
      </c>
      <c r="C312" t="s">
        <v>11</v>
      </c>
      <c r="D312" t="s">
        <v>12</v>
      </c>
      <c r="E312" t="s">
        <v>18</v>
      </c>
      <c r="F312" t="s">
        <v>24</v>
      </c>
      <c r="G312" s="2">
        <v>147974</v>
      </c>
      <c r="H312">
        <v>6</v>
      </c>
      <c r="I312" s="3">
        <v>0</v>
      </c>
      <c r="J312" s="2">
        <v>11383.44</v>
      </c>
    </row>
    <row r="313" spans="1:10" x14ac:dyDescent="0.35">
      <c r="A313" t="s">
        <v>338</v>
      </c>
      <c r="B313" s="1">
        <v>45409</v>
      </c>
      <c r="C313" t="s">
        <v>16</v>
      </c>
      <c r="D313" t="s">
        <v>17</v>
      </c>
      <c r="E313" t="s">
        <v>13</v>
      </c>
      <c r="F313" t="s">
        <v>24</v>
      </c>
      <c r="G313" s="2">
        <v>37425</v>
      </c>
      <c r="H313">
        <v>2</v>
      </c>
      <c r="I313" s="3">
        <v>0.15</v>
      </c>
      <c r="J313" s="2">
        <v>-3333.15</v>
      </c>
    </row>
    <row r="314" spans="1:10" x14ac:dyDescent="0.35">
      <c r="A314" t="s">
        <v>339</v>
      </c>
      <c r="B314" s="1">
        <v>45434</v>
      </c>
      <c r="C314" t="s">
        <v>21</v>
      </c>
      <c r="D314" t="s">
        <v>22</v>
      </c>
      <c r="E314" t="s">
        <v>18</v>
      </c>
      <c r="F314" t="s">
        <v>19</v>
      </c>
      <c r="G314" s="2">
        <v>100934</v>
      </c>
      <c r="H314">
        <v>2</v>
      </c>
      <c r="I314" s="3">
        <v>0.1</v>
      </c>
      <c r="J314" s="2">
        <v>10552.35</v>
      </c>
    </row>
    <row r="315" spans="1:10" x14ac:dyDescent="0.35">
      <c r="A315" t="s">
        <v>340</v>
      </c>
      <c r="B315" s="1">
        <v>45432</v>
      </c>
      <c r="C315" t="s">
        <v>21</v>
      </c>
      <c r="D315" t="s">
        <v>22</v>
      </c>
      <c r="E315" t="s">
        <v>13</v>
      </c>
      <c r="F315" t="s">
        <v>24</v>
      </c>
      <c r="G315" s="2">
        <v>72130</v>
      </c>
      <c r="H315">
        <v>10</v>
      </c>
      <c r="I315" s="3">
        <v>0.1</v>
      </c>
      <c r="J315" s="2">
        <v>5268.89</v>
      </c>
    </row>
    <row r="316" spans="1:10" x14ac:dyDescent="0.35">
      <c r="A316" t="s">
        <v>341</v>
      </c>
      <c r="B316" s="1">
        <v>45458</v>
      </c>
      <c r="C316" t="s">
        <v>21</v>
      </c>
      <c r="D316" t="s">
        <v>17</v>
      </c>
      <c r="E316" t="s">
        <v>13</v>
      </c>
      <c r="F316" t="s">
        <v>33</v>
      </c>
      <c r="G316" s="2">
        <v>17403</v>
      </c>
      <c r="H316">
        <v>2</v>
      </c>
      <c r="I316" s="3">
        <v>0.1</v>
      </c>
      <c r="J316" s="2">
        <v>2361.39</v>
      </c>
    </row>
    <row r="317" spans="1:10" x14ac:dyDescent="0.35">
      <c r="A317" t="s">
        <v>342</v>
      </c>
      <c r="B317" s="1">
        <v>45524</v>
      </c>
      <c r="C317" t="s">
        <v>11</v>
      </c>
      <c r="D317" t="s">
        <v>28</v>
      </c>
      <c r="E317" t="s">
        <v>13</v>
      </c>
      <c r="F317" t="s">
        <v>24</v>
      </c>
      <c r="G317" s="2">
        <v>18851</v>
      </c>
      <c r="H317">
        <v>7</v>
      </c>
      <c r="I317" s="3">
        <v>0.15</v>
      </c>
      <c r="J317" s="2">
        <v>164.34</v>
      </c>
    </row>
    <row r="318" spans="1:10" x14ac:dyDescent="0.35">
      <c r="A318" t="s">
        <v>343</v>
      </c>
      <c r="B318" s="1">
        <v>45294</v>
      </c>
      <c r="C318" t="s">
        <v>21</v>
      </c>
      <c r="D318" t="s">
        <v>22</v>
      </c>
      <c r="E318" t="s">
        <v>18</v>
      </c>
      <c r="F318" t="s">
        <v>14</v>
      </c>
      <c r="G318" s="2">
        <v>132161</v>
      </c>
      <c r="H318">
        <v>3</v>
      </c>
      <c r="I318" s="3">
        <v>0.1</v>
      </c>
      <c r="J318" s="2">
        <v>8009</v>
      </c>
    </row>
    <row r="319" spans="1:10" x14ac:dyDescent="0.35">
      <c r="A319" t="s">
        <v>344</v>
      </c>
      <c r="B319" s="1">
        <v>45637</v>
      </c>
      <c r="C319" t="s">
        <v>16</v>
      </c>
      <c r="D319" t="s">
        <v>22</v>
      </c>
      <c r="E319" t="s">
        <v>23</v>
      </c>
      <c r="F319" t="s">
        <v>19</v>
      </c>
      <c r="G319" s="2">
        <v>63229</v>
      </c>
      <c r="H319">
        <v>2</v>
      </c>
      <c r="I319" s="3">
        <v>0.05</v>
      </c>
      <c r="J319" s="2">
        <v>12453.96</v>
      </c>
    </row>
    <row r="320" spans="1:10" x14ac:dyDescent="0.35">
      <c r="A320" t="s">
        <v>345</v>
      </c>
      <c r="B320" s="1">
        <v>45450</v>
      </c>
      <c r="C320" t="s">
        <v>11</v>
      </c>
      <c r="D320" t="s">
        <v>12</v>
      </c>
      <c r="E320" t="s">
        <v>18</v>
      </c>
      <c r="F320" t="s">
        <v>33</v>
      </c>
      <c r="G320" s="2">
        <v>134298</v>
      </c>
      <c r="H320">
        <v>5</v>
      </c>
      <c r="I320" s="3">
        <v>0</v>
      </c>
      <c r="J320" s="2">
        <v>8191.4</v>
      </c>
    </row>
    <row r="321" spans="1:10" x14ac:dyDescent="0.35">
      <c r="A321" t="s">
        <v>346</v>
      </c>
      <c r="B321" s="1">
        <v>45456</v>
      </c>
      <c r="C321" t="s">
        <v>16</v>
      </c>
      <c r="D321" t="s">
        <v>12</v>
      </c>
      <c r="E321" t="s">
        <v>13</v>
      </c>
      <c r="F321" t="s">
        <v>14</v>
      </c>
      <c r="G321" s="2">
        <v>42471</v>
      </c>
      <c r="H321">
        <v>5</v>
      </c>
      <c r="I321" s="3">
        <v>0</v>
      </c>
      <c r="J321" s="2">
        <v>3517.85</v>
      </c>
    </row>
    <row r="322" spans="1:10" x14ac:dyDescent="0.35">
      <c r="A322" t="s">
        <v>347</v>
      </c>
      <c r="B322" s="1">
        <v>45631</v>
      </c>
      <c r="C322" t="s">
        <v>11</v>
      </c>
      <c r="D322" t="s">
        <v>17</v>
      </c>
      <c r="E322" t="s">
        <v>23</v>
      </c>
      <c r="F322" t="s">
        <v>31</v>
      </c>
      <c r="G322" s="2">
        <v>60540</v>
      </c>
      <c r="H322">
        <v>4</v>
      </c>
      <c r="I322" s="3">
        <v>0.05</v>
      </c>
      <c r="J322" s="2">
        <v>2142.11</v>
      </c>
    </row>
    <row r="323" spans="1:10" x14ac:dyDescent="0.35">
      <c r="A323" t="s">
        <v>348</v>
      </c>
      <c r="B323" s="1">
        <v>45602</v>
      </c>
      <c r="C323" t="s">
        <v>11</v>
      </c>
      <c r="D323" t="s">
        <v>12</v>
      </c>
      <c r="E323" t="s">
        <v>23</v>
      </c>
      <c r="F323" t="s">
        <v>40</v>
      </c>
      <c r="G323" s="2">
        <v>111526</v>
      </c>
      <c r="H323">
        <v>6</v>
      </c>
      <c r="I323" s="3">
        <v>0</v>
      </c>
      <c r="J323" s="2">
        <v>13094.06</v>
      </c>
    </row>
    <row r="324" spans="1:10" x14ac:dyDescent="0.35">
      <c r="A324" t="s">
        <v>349</v>
      </c>
      <c r="B324" s="1">
        <v>45418</v>
      </c>
      <c r="C324" t="s">
        <v>16</v>
      </c>
      <c r="D324" t="s">
        <v>12</v>
      </c>
      <c r="E324" t="s">
        <v>13</v>
      </c>
      <c r="F324" t="s">
        <v>26</v>
      </c>
      <c r="G324" s="2">
        <v>80250</v>
      </c>
      <c r="H324">
        <v>9</v>
      </c>
      <c r="I324" s="3">
        <v>0</v>
      </c>
      <c r="J324" s="2">
        <v>7034.24</v>
      </c>
    </row>
    <row r="325" spans="1:10" x14ac:dyDescent="0.35">
      <c r="A325" t="s">
        <v>350</v>
      </c>
      <c r="B325" s="1">
        <v>45398</v>
      </c>
      <c r="C325" t="s">
        <v>16</v>
      </c>
      <c r="D325" t="s">
        <v>28</v>
      </c>
      <c r="E325" t="s">
        <v>18</v>
      </c>
      <c r="F325" t="s">
        <v>33</v>
      </c>
      <c r="G325" s="2">
        <v>47674</v>
      </c>
      <c r="H325">
        <v>10</v>
      </c>
      <c r="I325" s="3">
        <v>0.1</v>
      </c>
      <c r="J325" s="2">
        <v>5551.61</v>
      </c>
    </row>
    <row r="326" spans="1:10" x14ac:dyDescent="0.35">
      <c r="A326" t="s">
        <v>351</v>
      </c>
      <c r="B326" s="1">
        <v>45328</v>
      </c>
      <c r="C326" t="s">
        <v>21</v>
      </c>
      <c r="D326" t="s">
        <v>12</v>
      </c>
      <c r="E326" t="s">
        <v>23</v>
      </c>
      <c r="F326" t="s">
        <v>40</v>
      </c>
      <c r="G326" s="2">
        <v>103695</v>
      </c>
      <c r="H326">
        <v>2</v>
      </c>
      <c r="I326" s="3">
        <v>0.15</v>
      </c>
      <c r="J326" s="2">
        <v>8334.31</v>
      </c>
    </row>
    <row r="327" spans="1:10" x14ac:dyDescent="0.35">
      <c r="A327" t="s">
        <v>352</v>
      </c>
      <c r="B327" s="1">
        <v>45457</v>
      </c>
      <c r="C327" t="s">
        <v>21</v>
      </c>
      <c r="D327" t="s">
        <v>12</v>
      </c>
      <c r="E327" t="s">
        <v>18</v>
      </c>
      <c r="F327" t="s">
        <v>33</v>
      </c>
      <c r="G327" s="2">
        <v>30250</v>
      </c>
      <c r="H327">
        <v>9</v>
      </c>
      <c r="I327" s="3">
        <v>0.15</v>
      </c>
      <c r="J327" s="2">
        <v>1420.56</v>
      </c>
    </row>
    <row r="328" spans="1:10" x14ac:dyDescent="0.35">
      <c r="A328" t="s">
        <v>353</v>
      </c>
      <c r="B328" s="1">
        <v>45590</v>
      </c>
      <c r="C328" t="s">
        <v>11</v>
      </c>
      <c r="D328" t="s">
        <v>12</v>
      </c>
      <c r="E328" t="s">
        <v>23</v>
      </c>
      <c r="F328" t="s">
        <v>26</v>
      </c>
      <c r="G328" s="2">
        <v>109438</v>
      </c>
      <c r="H328">
        <v>5</v>
      </c>
      <c r="I328" s="3">
        <v>0.05</v>
      </c>
      <c r="J328" s="2">
        <v>1912.67</v>
      </c>
    </row>
    <row r="329" spans="1:10" x14ac:dyDescent="0.35">
      <c r="A329" t="s">
        <v>354</v>
      </c>
      <c r="B329" s="1">
        <v>45561</v>
      </c>
      <c r="C329" t="s">
        <v>11</v>
      </c>
      <c r="D329" t="s">
        <v>28</v>
      </c>
      <c r="E329" t="s">
        <v>23</v>
      </c>
      <c r="F329" t="s">
        <v>31</v>
      </c>
      <c r="G329" s="2">
        <v>21106</v>
      </c>
      <c r="H329">
        <v>5</v>
      </c>
      <c r="I329" s="3">
        <v>0.05</v>
      </c>
      <c r="J329" s="2">
        <v>3916.24</v>
      </c>
    </row>
    <row r="330" spans="1:10" x14ac:dyDescent="0.35">
      <c r="A330" t="s">
        <v>355</v>
      </c>
      <c r="B330" s="1">
        <v>45569</v>
      </c>
      <c r="C330" t="s">
        <v>16</v>
      </c>
      <c r="D330" t="s">
        <v>17</v>
      </c>
      <c r="E330" t="s">
        <v>13</v>
      </c>
      <c r="F330" t="s">
        <v>26</v>
      </c>
      <c r="G330" s="2">
        <v>74202</v>
      </c>
      <c r="H330">
        <v>9</v>
      </c>
      <c r="I330" s="3">
        <v>0.1</v>
      </c>
      <c r="J330" s="2">
        <v>2586.54</v>
      </c>
    </row>
    <row r="331" spans="1:10" x14ac:dyDescent="0.35">
      <c r="A331" t="s">
        <v>356</v>
      </c>
      <c r="B331" s="1">
        <v>45307</v>
      </c>
      <c r="C331" t="s">
        <v>21</v>
      </c>
      <c r="D331" t="s">
        <v>28</v>
      </c>
      <c r="E331" t="s">
        <v>18</v>
      </c>
      <c r="F331" t="s">
        <v>19</v>
      </c>
      <c r="G331" s="2">
        <v>102166</v>
      </c>
      <c r="H331">
        <v>6</v>
      </c>
      <c r="I331" s="3">
        <v>0</v>
      </c>
      <c r="J331" s="2">
        <v>24264.81</v>
      </c>
    </row>
    <row r="332" spans="1:10" x14ac:dyDescent="0.35">
      <c r="A332" t="s">
        <v>357</v>
      </c>
      <c r="B332" s="1">
        <v>45372</v>
      </c>
      <c r="C332" t="s">
        <v>11</v>
      </c>
      <c r="D332" t="s">
        <v>28</v>
      </c>
      <c r="E332" t="s">
        <v>13</v>
      </c>
      <c r="F332" t="s">
        <v>19</v>
      </c>
      <c r="G332" s="2">
        <v>99658</v>
      </c>
      <c r="H332">
        <v>5</v>
      </c>
      <c r="I332" s="3">
        <v>0.05</v>
      </c>
      <c r="J332" s="2">
        <v>12338.39</v>
      </c>
    </row>
    <row r="333" spans="1:10" x14ac:dyDescent="0.35">
      <c r="A333" t="s">
        <v>358</v>
      </c>
      <c r="B333" s="1">
        <v>45456</v>
      </c>
      <c r="C333" t="s">
        <v>21</v>
      </c>
      <c r="D333" t="s">
        <v>28</v>
      </c>
      <c r="E333" t="s">
        <v>13</v>
      </c>
      <c r="F333" t="s">
        <v>31</v>
      </c>
      <c r="G333" s="2">
        <v>95252</v>
      </c>
      <c r="H333">
        <v>1</v>
      </c>
      <c r="I333" s="3">
        <v>0.15</v>
      </c>
      <c r="J333" s="2">
        <v>-8245.3799999999992</v>
      </c>
    </row>
    <row r="334" spans="1:10" x14ac:dyDescent="0.35">
      <c r="A334" t="s">
        <v>359</v>
      </c>
      <c r="B334" s="1">
        <v>45448</v>
      </c>
      <c r="C334" t="s">
        <v>16</v>
      </c>
      <c r="D334" t="s">
        <v>17</v>
      </c>
      <c r="E334" t="s">
        <v>18</v>
      </c>
      <c r="F334" t="s">
        <v>24</v>
      </c>
      <c r="G334" s="2">
        <v>80016</v>
      </c>
      <c r="H334">
        <v>10</v>
      </c>
      <c r="I334" s="3">
        <v>0.15</v>
      </c>
      <c r="J334" s="2">
        <v>-7490.22</v>
      </c>
    </row>
    <row r="335" spans="1:10" x14ac:dyDescent="0.35">
      <c r="A335" t="s">
        <v>360</v>
      </c>
      <c r="B335" s="1">
        <v>45582</v>
      </c>
      <c r="C335" t="s">
        <v>21</v>
      </c>
      <c r="D335" t="s">
        <v>17</v>
      </c>
      <c r="E335" t="s">
        <v>23</v>
      </c>
      <c r="F335" t="s">
        <v>33</v>
      </c>
      <c r="G335" s="2">
        <v>148507</v>
      </c>
      <c r="H335">
        <v>2</v>
      </c>
      <c r="I335" s="3">
        <v>0.15</v>
      </c>
      <c r="J335" s="2">
        <v>-934</v>
      </c>
    </row>
    <row r="336" spans="1:10" x14ac:dyDescent="0.35">
      <c r="A336" t="s">
        <v>361</v>
      </c>
      <c r="B336" s="1">
        <v>45333</v>
      </c>
      <c r="C336" t="s">
        <v>21</v>
      </c>
      <c r="D336" t="s">
        <v>22</v>
      </c>
      <c r="E336" t="s">
        <v>18</v>
      </c>
      <c r="F336" t="s">
        <v>19</v>
      </c>
      <c r="G336" s="2">
        <v>57876</v>
      </c>
      <c r="H336">
        <v>5</v>
      </c>
      <c r="I336" s="3">
        <v>0.15</v>
      </c>
      <c r="J336" s="2">
        <v>463.09</v>
      </c>
    </row>
    <row r="337" spans="1:10" x14ac:dyDescent="0.35">
      <c r="A337" t="s">
        <v>362</v>
      </c>
      <c r="B337" s="1">
        <v>45422</v>
      </c>
      <c r="C337" t="s">
        <v>11</v>
      </c>
      <c r="D337" t="s">
        <v>12</v>
      </c>
      <c r="E337" t="s">
        <v>23</v>
      </c>
      <c r="F337" t="s">
        <v>19</v>
      </c>
      <c r="G337" s="2">
        <v>27295</v>
      </c>
      <c r="H337">
        <v>3</v>
      </c>
      <c r="I337" s="3">
        <v>0.05</v>
      </c>
      <c r="J337" s="2">
        <v>3193.99</v>
      </c>
    </row>
    <row r="338" spans="1:10" x14ac:dyDescent="0.35">
      <c r="A338" t="s">
        <v>363</v>
      </c>
      <c r="B338" s="1">
        <v>45495</v>
      </c>
      <c r="C338" t="s">
        <v>16</v>
      </c>
      <c r="D338" t="s">
        <v>22</v>
      </c>
      <c r="E338" t="s">
        <v>23</v>
      </c>
      <c r="F338" t="s">
        <v>31</v>
      </c>
      <c r="G338" s="2">
        <v>139695</v>
      </c>
      <c r="H338">
        <v>8</v>
      </c>
      <c r="I338" s="3">
        <v>0.15</v>
      </c>
      <c r="J338" s="2">
        <v>1412.61</v>
      </c>
    </row>
    <row r="339" spans="1:10" x14ac:dyDescent="0.35">
      <c r="A339" t="s">
        <v>364</v>
      </c>
      <c r="B339" s="1">
        <v>45529</v>
      </c>
      <c r="C339" t="s">
        <v>21</v>
      </c>
      <c r="D339" t="s">
        <v>28</v>
      </c>
      <c r="E339" t="s">
        <v>13</v>
      </c>
      <c r="F339" t="s">
        <v>24</v>
      </c>
      <c r="G339" s="2">
        <v>53916</v>
      </c>
      <c r="H339">
        <v>4</v>
      </c>
      <c r="I339" s="3">
        <v>0</v>
      </c>
      <c r="J339" s="2">
        <v>6801.58</v>
      </c>
    </row>
    <row r="340" spans="1:10" x14ac:dyDescent="0.35">
      <c r="A340" t="s">
        <v>365</v>
      </c>
      <c r="B340" s="1">
        <v>45515</v>
      </c>
      <c r="C340" t="s">
        <v>16</v>
      </c>
      <c r="D340" t="s">
        <v>12</v>
      </c>
      <c r="E340" t="s">
        <v>18</v>
      </c>
      <c r="F340" t="s">
        <v>19</v>
      </c>
      <c r="G340" s="2">
        <v>61960</v>
      </c>
      <c r="H340">
        <v>5</v>
      </c>
      <c r="I340" s="3">
        <v>0.1</v>
      </c>
      <c r="J340" s="2">
        <v>5505</v>
      </c>
    </row>
    <row r="341" spans="1:10" x14ac:dyDescent="0.35">
      <c r="A341" t="s">
        <v>366</v>
      </c>
      <c r="B341" s="1">
        <v>45362</v>
      </c>
      <c r="C341" t="s">
        <v>16</v>
      </c>
      <c r="D341" t="s">
        <v>28</v>
      </c>
      <c r="E341" t="s">
        <v>18</v>
      </c>
      <c r="F341" t="s">
        <v>40</v>
      </c>
      <c r="G341" s="2">
        <v>5209</v>
      </c>
      <c r="H341">
        <v>10</v>
      </c>
      <c r="I341" s="3">
        <v>0</v>
      </c>
      <c r="J341" s="2">
        <v>381.68</v>
      </c>
    </row>
    <row r="342" spans="1:10" x14ac:dyDescent="0.35">
      <c r="A342" t="s">
        <v>367</v>
      </c>
      <c r="B342" s="1">
        <v>45386</v>
      </c>
      <c r="C342" t="s">
        <v>21</v>
      </c>
      <c r="D342" t="s">
        <v>12</v>
      </c>
      <c r="E342" t="s">
        <v>18</v>
      </c>
      <c r="F342" t="s">
        <v>31</v>
      </c>
      <c r="G342" s="2">
        <v>137558</v>
      </c>
      <c r="H342">
        <v>7</v>
      </c>
      <c r="I342" s="3">
        <v>0.05</v>
      </c>
      <c r="J342" s="2">
        <v>22636.42</v>
      </c>
    </row>
    <row r="343" spans="1:10" x14ac:dyDescent="0.35">
      <c r="A343" t="s">
        <v>368</v>
      </c>
      <c r="B343" s="1">
        <v>45492</v>
      </c>
      <c r="C343" t="s">
        <v>21</v>
      </c>
      <c r="D343" t="s">
        <v>22</v>
      </c>
      <c r="E343" t="s">
        <v>18</v>
      </c>
      <c r="F343" t="s">
        <v>31</v>
      </c>
      <c r="G343" s="2">
        <v>145863</v>
      </c>
      <c r="H343">
        <v>10</v>
      </c>
      <c r="I343" s="3">
        <v>0</v>
      </c>
      <c r="J343" s="2">
        <v>35362.910000000003</v>
      </c>
    </row>
    <row r="344" spans="1:10" x14ac:dyDescent="0.35">
      <c r="A344" t="s">
        <v>369</v>
      </c>
      <c r="B344" s="1">
        <v>45467</v>
      </c>
      <c r="C344" t="s">
        <v>11</v>
      </c>
      <c r="D344" t="s">
        <v>28</v>
      </c>
      <c r="E344" t="s">
        <v>23</v>
      </c>
      <c r="F344" t="s">
        <v>19</v>
      </c>
      <c r="G344" s="2">
        <v>91848</v>
      </c>
      <c r="H344">
        <v>7</v>
      </c>
      <c r="I344" s="3">
        <v>0.05</v>
      </c>
      <c r="J344" s="2">
        <v>773.85</v>
      </c>
    </row>
    <row r="345" spans="1:10" x14ac:dyDescent="0.35">
      <c r="A345" t="s">
        <v>370</v>
      </c>
      <c r="B345" s="1">
        <v>45435</v>
      </c>
      <c r="C345" t="s">
        <v>11</v>
      </c>
      <c r="D345" t="s">
        <v>12</v>
      </c>
      <c r="E345" t="s">
        <v>23</v>
      </c>
      <c r="F345" t="s">
        <v>26</v>
      </c>
      <c r="G345" s="2">
        <v>87498</v>
      </c>
      <c r="H345">
        <v>4</v>
      </c>
      <c r="I345" s="3">
        <v>0.05</v>
      </c>
      <c r="J345" s="2">
        <v>15046.5</v>
      </c>
    </row>
    <row r="346" spans="1:10" x14ac:dyDescent="0.35">
      <c r="A346" t="s">
        <v>371</v>
      </c>
      <c r="B346" s="1">
        <v>45523</v>
      </c>
      <c r="C346" t="s">
        <v>11</v>
      </c>
      <c r="D346" t="s">
        <v>22</v>
      </c>
      <c r="E346" t="s">
        <v>18</v>
      </c>
      <c r="F346" t="s">
        <v>33</v>
      </c>
      <c r="G346" s="2">
        <v>107459</v>
      </c>
      <c r="H346">
        <v>2</v>
      </c>
      <c r="I346" s="3">
        <v>0</v>
      </c>
      <c r="J346" s="2">
        <v>26154.78</v>
      </c>
    </row>
    <row r="347" spans="1:10" x14ac:dyDescent="0.35">
      <c r="A347" t="s">
        <v>372</v>
      </c>
      <c r="B347" s="1">
        <v>45404</v>
      </c>
      <c r="C347" t="s">
        <v>21</v>
      </c>
      <c r="D347" t="s">
        <v>12</v>
      </c>
      <c r="E347" t="s">
        <v>18</v>
      </c>
      <c r="F347" t="s">
        <v>26</v>
      </c>
      <c r="G347" s="2">
        <v>50099</v>
      </c>
      <c r="H347">
        <v>8</v>
      </c>
      <c r="I347" s="3">
        <v>0.1</v>
      </c>
      <c r="J347" s="2">
        <v>2545.94</v>
      </c>
    </row>
    <row r="348" spans="1:10" x14ac:dyDescent="0.35">
      <c r="A348" t="s">
        <v>373</v>
      </c>
      <c r="B348" s="1">
        <v>45302</v>
      </c>
      <c r="C348" t="s">
        <v>21</v>
      </c>
      <c r="D348" t="s">
        <v>28</v>
      </c>
      <c r="E348" t="s">
        <v>13</v>
      </c>
      <c r="F348" t="s">
        <v>33</v>
      </c>
      <c r="G348" s="2">
        <v>104186</v>
      </c>
      <c r="H348">
        <v>2</v>
      </c>
      <c r="I348" s="3">
        <v>0.05</v>
      </c>
      <c r="J348" s="2">
        <v>6570.11</v>
      </c>
    </row>
    <row r="349" spans="1:10" x14ac:dyDescent="0.35">
      <c r="A349" t="s">
        <v>374</v>
      </c>
      <c r="B349" s="1">
        <v>45530</v>
      </c>
      <c r="C349" t="s">
        <v>21</v>
      </c>
      <c r="D349" t="s">
        <v>12</v>
      </c>
      <c r="E349" t="s">
        <v>23</v>
      </c>
      <c r="F349" t="s">
        <v>31</v>
      </c>
      <c r="G349" s="2">
        <v>85515</v>
      </c>
      <c r="H349">
        <v>2</v>
      </c>
      <c r="I349" s="3">
        <v>0.1</v>
      </c>
      <c r="J349" s="2">
        <v>-91.18</v>
      </c>
    </row>
    <row r="350" spans="1:10" x14ac:dyDescent="0.35">
      <c r="A350" t="s">
        <v>375</v>
      </c>
      <c r="B350" s="1">
        <v>45300</v>
      </c>
      <c r="C350" t="s">
        <v>21</v>
      </c>
      <c r="D350" t="s">
        <v>12</v>
      </c>
      <c r="E350" t="s">
        <v>18</v>
      </c>
      <c r="F350" t="s">
        <v>40</v>
      </c>
      <c r="G350" s="2">
        <v>80674</v>
      </c>
      <c r="H350">
        <v>4</v>
      </c>
      <c r="I350" s="3">
        <v>0.05</v>
      </c>
      <c r="J350" s="2">
        <v>4569.04</v>
      </c>
    </row>
    <row r="351" spans="1:10" x14ac:dyDescent="0.35">
      <c r="A351" t="s">
        <v>376</v>
      </c>
      <c r="B351" s="1">
        <v>45336</v>
      </c>
      <c r="C351" t="s">
        <v>11</v>
      </c>
      <c r="D351" t="s">
        <v>17</v>
      </c>
      <c r="E351" t="s">
        <v>18</v>
      </c>
      <c r="F351" t="s">
        <v>31</v>
      </c>
      <c r="G351" s="2">
        <v>142969</v>
      </c>
      <c r="H351">
        <v>1</v>
      </c>
      <c r="I351" s="3">
        <v>0.1</v>
      </c>
      <c r="J351" s="2">
        <v>-4837.41</v>
      </c>
    </row>
    <row r="352" spans="1:10" x14ac:dyDescent="0.35">
      <c r="A352" t="s">
        <v>377</v>
      </c>
      <c r="B352" s="1">
        <v>45323</v>
      </c>
      <c r="C352" t="s">
        <v>16</v>
      </c>
      <c r="D352" t="s">
        <v>28</v>
      </c>
      <c r="E352" t="s">
        <v>13</v>
      </c>
      <c r="F352" t="s">
        <v>14</v>
      </c>
      <c r="G352" s="2">
        <v>43686</v>
      </c>
      <c r="H352">
        <v>5</v>
      </c>
      <c r="I352" s="3">
        <v>0.1</v>
      </c>
      <c r="J352" s="2">
        <v>-2126.91</v>
      </c>
    </row>
    <row r="353" spans="1:10" x14ac:dyDescent="0.35">
      <c r="A353" t="s">
        <v>378</v>
      </c>
      <c r="B353" s="1">
        <v>45294</v>
      </c>
      <c r="C353" t="s">
        <v>21</v>
      </c>
      <c r="D353" t="s">
        <v>22</v>
      </c>
      <c r="E353" t="s">
        <v>13</v>
      </c>
      <c r="F353" t="s">
        <v>33</v>
      </c>
      <c r="G353" s="2">
        <v>40619</v>
      </c>
      <c r="H353">
        <v>10</v>
      </c>
      <c r="I353" s="3">
        <v>0.15</v>
      </c>
      <c r="J353" s="2">
        <v>2311.89</v>
      </c>
    </row>
    <row r="354" spans="1:10" x14ac:dyDescent="0.35">
      <c r="A354" t="s">
        <v>379</v>
      </c>
      <c r="B354" s="1">
        <v>45405</v>
      </c>
      <c r="C354" t="s">
        <v>11</v>
      </c>
      <c r="D354" t="s">
        <v>12</v>
      </c>
      <c r="E354" t="s">
        <v>23</v>
      </c>
      <c r="F354" t="s">
        <v>31</v>
      </c>
      <c r="G354" s="2">
        <v>86794</v>
      </c>
      <c r="H354">
        <v>5</v>
      </c>
      <c r="I354" s="3">
        <v>0.1</v>
      </c>
      <c r="J354" s="2">
        <v>3105.54</v>
      </c>
    </row>
    <row r="355" spans="1:10" x14ac:dyDescent="0.35">
      <c r="A355" t="s">
        <v>380</v>
      </c>
      <c r="B355" s="1">
        <v>45456</v>
      </c>
      <c r="C355" t="s">
        <v>21</v>
      </c>
      <c r="D355" t="s">
        <v>22</v>
      </c>
      <c r="E355" t="s">
        <v>18</v>
      </c>
      <c r="F355" t="s">
        <v>24</v>
      </c>
      <c r="G355" s="2">
        <v>137842</v>
      </c>
      <c r="H355">
        <v>2</v>
      </c>
      <c r="I355" s="3">
        <v>0.05</v>
      </c>
      <c r="J355" s="2">
        <v>7026.94</v>
      </c>
    </row>
    <row r="356" spans="1:10" x14ac:dyDescent="0.35">
      <c r="A356" t="s">
        <v>381</v>
      </c>
      <c r="B356" s="1">
        <v>45308</v>
      </c>
      <c r="C356" t="s">
        <v>21</v>
      </c>
      <c r="D356" t="s">
        <v>28</v>
      </c>
      <c r="E356" t="s">
        <v>23</v>
      </c>
      <c r="F356" t="s">
        <v>19</v>
      </c>
      <c r="G356" s="2">
        <v>78653</v>
      </c>
      <c r="H356">
        <v>3</v>
      </c>
      <c r="I356" s="3">
        <v>0.1</v>
      </c>
      <c r="J356" s="2">
        <v>5703.08</v>
      </c>
    </row>
    <row r="357" spans="1:10" x14ac:dyDescent="0.35">
      <c r="A357" t="s">
        <v>382</v>
      </c>
      <c r="B357" s="1">
        <v>45424</v>
      </c>
      <c r="C357" t="s">
        <v>11</v>
      </c>
      <c r="D357" t="s">
        <v>12</v>
      </c>
      <c r="E357" t="s">
        <v>13</v>
      </c>
      <c r="F357" t="s">
        <v>26</v>
      </c>
      <c r="G357" s="2">
        <v>93933</v>
      </c>
      <c r="H357">
        <v>2</v>
      </c>
      <c r="I357" s="3">
        <v>0.1</v>
      </c>
      <c r="J357" s="2">
        <v>8840.26</v>
      </c>
    </row>
    <row r="358" spans="1:10" x14ac:dyDescent="0.35">
      <c r="A358" t="s">
        <v>383</v>
      </c>
      <c r="B358" s="1">
        <v>45307</v>
      </c>
      <c r="C358" t="s">
        <v>16</v>
      </c>
      <c r="D358" t="s">
        <v>28</v>
      </c>
      <c r="E358" t="s">
        <v>18</v>
      </c>
      <c r="F358" t="s">
        <v>40</v>
      </c>
      <c r="G358" s="2">
        <v>71242</v>
      </c>
      <c r="H358">
        <v>5</v>
      </c>
      <c r="I358" s="3">
        <v>0.1</v>
      </c>
      <c r="J358" s="2">
        <v>10605.34</v>
      </c>
    </row>
    <row r="359" spans="1:10" x14ac:dyDescent="0.35">
      <c r="A359" t="s">
        <v>384</v>
      </c>
      <c r="B359" s="1">
        <v>45617</v>
      </c>
      <c r="C359" t="s">
        <v>16</v>
      </c>
      <c r="D359" t="s">
        <v>28</v>
      </c>
      <c r="E359" t="s">
        <v>23</v>
      </c>
      <c r="F359" t="s">
        <v>31</v>
      </c>
      <c r="G359" s="2">
        <v>89807</v>
      </c>
      <c r="H359">
        <v>6</v>
      </c>
      <c r="I359" s="3">
        <v>0.15</v>
      </c>
      <c r="J359" s="2">
        <v>6112.41</v>
      </c>
    </row>
    <row r="360" spans="1:10" x14ac:dyDescent="0.35">
      <c r="A360" t="s">
        <v>385</v>
      </c>
      <c r="B360" s="1">
        <v>45638</v>
      </c>
      <c r="C360" t="s">
        <v>16</v>
      </c>
      <c r="D360" t="s">
        <v>12</v>
      </c>
      <c r="E360" t="s">
        <v>23</v>
      </c>
      <c r="F360" t="s">
        <v>26</v>
      </c>
      <c r="G360" s="2">
        <v>133587</v>
      </c>
      <c r="H360">
        <v>9</v>
      </c>
      <c r="I360" s="3">
        <v>0.1</v>
      </c>
      <c r="J360" s="2">
        <v>10293.469999999999</v>
      </c>
    </row>
    <row r="361" spans="1:10" x14ac:dyDescent="0.35">
      <c r="A361" t="s">
        <v>386</v>
      </c>
      <c r="B361" s="1">
        <v>45652</v>
      </c>
      <c r="C361" t="s">
        <v>11</v>
      </c>
      <c r="D361" t="s">
        <v>22</v>
      </c>
      <c r="E361" t="s">
        <v>23</v>
      </c>
      <c r="F361" t="s">
        <v>19</v>
      </c>
      <c r="G361" s="2">
        <v>86853</v>
      </c>
      <c r="H361">
        <v>10</v>
      </c>
      <c r="I361" s="3">
        <v>0.1</v>
      </c>
      <c r="J361" s="2">
        <v>9724.83</v>
      </c>
    </row>
    <row r="362" spans="1:10" x14ac:dyDescent="0.35">
      <c r="A362" t="s">
        <v>387</v>
      </c>
      <c r="B362" s="1">
        <v>45447</v>
      </c>
      <c r="C362" t="s">
        <v>11</v>
      </c>
      <c r="D362" t="s">
        <v>17</v>
      </c>
      <c r="E362" t="s">
        <v>23</v>
      </c>
      <c r="F362" t="s">
        <v>33</v>
      </c>
      <c r="G362" s="2">
        <v>54167</v>
      </c>
      <c r="H362">
        <v>10</v>
      </c>
      <c r="I362" s="3">
        <v>0.1</v>
      </c>
      <c r="J362" s="2">
        <v>2187.4899999999998</v>
      </c>
    </row>
    <row r="363" spans="1:10" x14ac:dyDescent="0.35">
      <c r="A363" t="s">
        <v>388</v>
      </c>
      <c r="B363" s="1">
        <v>45348</v>
      </c>
      <c r="C363" t="s">
        <v>16</v>
      </c>
      <c r="D363" t="s">
        <v>12</v>
      </c>
      <c r="E363" t="s">
        <v>13</v>
      </c>
      <c r="F363" t="s">
        <v>14</v>
      </c>
      <c r="G363" s="2">
        <v>31222</v>
      </c>
      <c r="H363">
        <v>8</v>
      </c>
      <c r="I363" s="3">
        <v>0.1</v>
      </c>
      <c r="J363" s="2">
        <v>3582.86</v>
      </c>
    </row>
    <row r="364" spans="1:10" x14ac:dyDescent="0.35">
      <c r="A364" t="s">
        <v>389</v>
      </c>
      <c r="B364" s="1">
        <v>45506</v>
      </c>
      <c r="C364" t="s">
        <v>16</v>
      </c>
      <c r="D364" t="s">
        <v>12</v>
      </c>
      <c r="E364" t="s">
        <v>13</v>
      </c>
      <c r="F364" t="s">
        <v>14</v>
      </c>
      <c r="G364" s="2">
        <v>32374</v>
      </c>
      <c r="H364">
        <v>8</v>
      </c>
      <c r="I364" s="3">
        <v>0.05</v>
      </c>
      <c r="J364" s="2">
        <v>4521.88</v>
      </c>
    </row>
    <row r="365" spans="1:10" x14ac:dyDescent="0.35">
      <c r="A365" t="s">
        <v>390</v>
      </c>
      <c r="B365" s="1">
        <v>45437</v>
      </c>
      <c r="C365" t="s">
        <v>21</v>
      </c>
      <c r="D365" t="s">
        <v>22</v>
      </c>
      <c r="E365" t="s">
        <v>18</v>
      </c>
      <c r="F365" t="s">
        <v>19</v>
      </c>
      <c r="G365" s="2">
        <v>133569</v>
      </c>
      <c r="H365">
        <v>8</v>
      </c>
      <c r="I365" s="3">
        <v>0</v>
      </c>
      <c r="J365" s="2">
        <v>23623.64</v>
      </c>
    </row>
    <row r="366" spans="1:10" x14ac:dyDescent="0.35">
      <c r="A366" t="s">
        <v>391</v>
      </c>
      <c r="B366" s="1">
        <v>45387</v>
      </c>
      <c r="C366" t="s">
        <v>16</v>
      </c>
      <c r="D366" t="s">
        <v>22</v>
      </c>
      <c r="E366" t="s">
        <v>23</v>
      </c>
      <c r="F366" t="s">
        <v>24</v>
      </c>
      <c r="G366" s="2">
        <v>56955</v>
      </c>
      <c r="H366">
        <v>4</v>
      </c>
      <c r="I366" s="3">
        <v>0.1</v>
      </c>
      <c r="J366" s="2">
        <v>7099.93</v>
      </c>
    </row>
    <row r="367" spans="1:10" x14ac:dyDescent="0.35">
      <c r="A367" t="s">
        <v>392</v>
      </c>
      <c r="B367" s="1">
        <v>45632</v>
      </c>
      <c r="C367" t="s">
        <v>16</v>
      </c>
      <c r="D367" t="s">
        <v>22</v>
      </c>
      <c r="E367" t="s">
        <v>23</v>
      </c>
      <c r="F367" t="s">
        <v>31</v>
      </c>
      <c r="G367" s="2">
        <v>67400</v>
      </c>
      <c r="H367">
        <v>3</v>
      </c>
      <c r="I367" s="3">
        <v>0</v>
      </c>
      <c r="J367" s="2">
        <v>12664.09</v>
      </c>
    </row>
    <row r="368" spans="1:10" x14ac:dyDescent="0.35">
      <c r="A368" t="s">
        <v>393</v>
      </c>
      <c r="B368" s="1">
        <v>45449</v>
      </c>
      <c r="C368" t="s">
        <v>11</v>
      </c>
      <c r="D368" t="s">
        <v>17</v>
      </c>
      <c r="E368" t="s">
        <v>23</v>
      </c>
      <c r="F368" t="s">
        <v>14</v>
      </c>
      <c r="G368" s="2">
        <v>29986</v>
      </c>
      <c r="H368">
        <v>3</v>
      </c>
      <c r="I368" s="3">
        <v>0.1</v>
      </c>
      <c r="J368" s="2">
        <v>-1174.44</v>
      </c>
    </row>
    <row r="369" spans="1:10" x14ac:dyDescent="0.35">
      <c r="A369" t="s">
        <v>394</v>
      </c>
      <c r="B369" s="1">
        <v>45370</v>
      </c>
      <c r="C369" t="s">
        <v>16</v>
      </c>
      <c r="D369" t="s">
        <v>12</v>
      </c>
      <c r="E369" t="s">
        <v>23</v>
      </c>
      <c r="F369" t="s">
        <v>33</v>
      </c>
      <c r="G369" s="2">
        <v>62302</v>
      </c>
      <c r="H369">
        <v>5</v>
      </c>
      <c r="I369" s="3">
        <v>0.1</v>
      </c>
      <c r="J369" s="2">
        <v>-1421.64</v>
      </c>
    </row>
    <row r="370" spans="1:10" x14ac:dyDescent="0.35">
      <c r="A370" t="s">
        <v>395</v>
      </c>
      <c r="B370" s="1">
        <v>45629</v>
      </c>
      <c r="C370" t="s">
        <v>16</v>
      </c>
      <c r="D370" t="s">
        <v>22</v>
      </c>
      <c r="E370" t="s">
        <v>18</v>
      </c>
      <c r="F370" t="s">
        <v>40</v>
      </c>
      <c r="G370" s="2">
        <v>138495</v>
      </c>
      <c r="H370">
        <v>10</v>
      </c>
      <c r="I370" s="3">
        <v>0.05</v>
      </c>
      <c r="J370" s="2">
        <v>27462.21</v>
      </c>
    </row>
    <row r="371" spans="1:10" x14ac:dyDescent="0.35">
      <c r="A371" t="s">
        <v>396</v>
      </c>
      <c r="B371" s="1">
        <v>45401</v>
      </c>
      <c r="C371" t="s">
        <v>11</v>
      </c>
      <c r="D371" t="s">
        <v>12</v>
      </c>
      <c r="E371" t="s">
        <v>13</v>
      </c>
      <c r="F371" t="s">
        <v>19</v>
      </c>
      <c r="G371" s="2">
        <v>24732</v>
      </c>
      <c r="H371">
        <v>2</v>
      </c>
      <c r="I371" s="3">
        <v>0.1</v>
      </c>
      <c r="J371" s="2">
        <v>2806.33</v>
      </c>
    </row>
    <row r="372" spans="1:10" x14ac:dyDescent="0.35">
      <c r="A372" t="s">
        <v>397</v>
      </c>
      <c r="B372" s="1">
        <v>45514</v>
      </c>
      <c r="C372" t="s">
        <v>11</v>
      </c>
      <c r="D372" t="s">
        <v>12</v>
      </c>
      <c r="E372" t="s">
        <v>18</v>
      </c>
      <c r="F372" t="s">
        <v>33</v>
      </c>
      <c r="G372" s="2">
        <v>140926</v>
      </c>
      <c r="H372">
        <v>10</v>
      </c>
      <c r="I372" s="3">
        <v>0.05</v>
      </c>
      <c r="J372" s="2">
        <v>12456.37</v>
      </c>
    </row>
    <row r="373" spans="1:10" x14ac:dyDescent="0.35">
      <c r="A373" t="s">
        <v>398</v>
      </c>
      <c r="B373" s="1">
        <v>45532</v>
      </c>
      <c r="C373" t="s">
        <v>21</v>
      </c>
      <c r="D373" t="s">
        <v>28</v>
      </c>
      <c r="E373" t="s">
        <v>23</v>
      </c>
      <c r="F373" t="s">
        <v>33</v>
      </c>
      <c r="G373" s="2">
        <v>114508</v>
      </c>
      <c r="H373">
        <v>1</v>
      </c>
      <c r="I373" s="3">
        <v>0</v>
      </c>
      <c r="J373" s="2">
        <v>11337.51</v>
      </c>
    </row>
    <row r="374" spans="1:10" x14ac:dyDescent="0.35">
      <c r="A374" t="s">
        <v>399</v>
      </c>
      <c r="B374" s="1">
        <v>45447</v>
      </c>
      <c r="C374" t="s">
        <v>16</v>
      </c>
      <c r="D374" t="s">
        <v>12</v>
      </c>
      <c r="E374" t="s">
        <v>18</v>
      </c>
      <c r="F374" t="s">
        <v>19</v>
      </c>
      <c r="G374" s="2">
        <v>112301</v>
      </c>
      <c r="H374">
        <v>3</v>
      </c>
      <c r="I374" s="3">
        <v>0.15</v>
      </c>
      <c r="J374" s="2">
        <v>10884.89</v>
      </c>
    </row>
    <row r="375" spans="1:10" x14ac:dyDescent="0.35">
      <c r="A375" t="s">
        <v>400</v>
      </c>
      <c r="B375" s="1">
        <v>45444</v>
      </c>
      <c r="C375" t="s">
        <v>21</v>
      </c>
      <c r="D375" t="s">
        <v>22</v>
      </c>
      <c r="E375" t="s">
        <v>13</v>
      </c>
      <c r="F375" t="s">
        <v>14</v>
      </c>
      <c r="G375" s="2">
        <v>107601</v>
      </c>
      <c r="H375">
        <v>6</v>
      </c>
      <c r="I375" s="3">
        <v>0.15</v>
      </c>
      <c r="J375" s="2">
        <v>8986.9599999999991</v>
      </c>
    </row>
    <row r="376" spans="1:10" x14ac:dyDescent="0.35">
      <c r="A376" t="s">
        <v>401</v>
      </c>
      <c r="B376" s="1">
        <v>45633</v>
      </c>
      <c r="C376" t="s">
        <v>21</v>
      </c>
      <c r="D376" t="s">
        <v>17</v>
      </c>
      <c r="E376" t="s">
        <v>18</v>
      </c>
      <c r="F376" t="s">
        <v>26</v>
      </c>
      <c r="G376" s="2">
        <v>17324</v>
      </c>
      <c r="H376">
        <v>9</v>
      </c>
      <c r="I376" s="3">
        <v>0</v>
      </c>
      <c r="J376" s="2">
        <v>3070.98</v>
      </c>
    </row>
    <row r="377" spans="1:10" x14ac:dyDescent="0.35">
      <c r="A377" t="s">
        <v>402</v>
      </c>
      <c r="B377" s="1">
        <v>45430</v>
      </c>
      <c r="C377" t="s">
        <v>21</v>
      </c>
      <c r="D377" t="s">
        <v>17</v>
      </c>
      <c r="E377" t="s">
        <v>13</v>
      </c>
      <c r="F377" t="s">
        <v>33</v>
      </c>
      <c r="G377" s="2">
        <v>142620</v>
      </c>
      <c r="H377">
        <v>7</v>
      </c>
      <c r="I377" s="3">
        <v>0.1</v>
      </c>
      <c r="J377" s="2">
        <v>-1560.7</v>
      </c>
    </row>
    <row r="378" spans="1:10" x14ac:dyDescent="0.35">
      <c r="A378" t="s">
        <v>403</v>
      </c>
      <c r="B378" s="1">
        <v>45394</v>
      </c>
      <c r="C378" t="s">
        <v>21</v>
      </c>
      <c r="D378" t="s">
        <v>12</v>
      </c>
      <c r="E378" t="s">
        <v>18</v>
      </c>
      <c r="F378" t="s">
        <v>26</v>
      </c>
      <c r="G378" s="2">
        <v>117266</v>
      </c>
      <c r="H378">
        <v>8</v>
      </c>
      <c r="I378" s="3">
        <v>0</v>
      </c>
      <c r="J378" s="2">
        <v>19411.669999999998</v>
      </c>
    </row>
    <row r="379" spans="1:10" x14ac:dyDescent="0.35">
      <c r="A379" t="s">
        <v>404</v>
      </c>
      <c r="B379" s="1">
        <v>45336</v>
      </c>
      <c r="C379" t="s">
        <v>16</v>
      </c>
      <c r="D379" t="s">
        <v>17</v>
      </c>
      <c r="E379" t="s">
        <v>23</v>
      </c>
      <c r="F379" t="s">
        <v>40</v>
      </c>
      <c r="G379" s="2">
        <v>5890</v>
      </c>
      <c r="H379">
        <v>3</v>
      </c>
      <c r="I379" s="3">
        <v>0.15</v>
      </c>
      <c r="J379" s="2">
        <v>66.180000000000007</v>
      </c>
    </row>
    <row r="380" spans="1:10" x14ac:dyDescent="0.35">
      <c r="A380" t="s">
        <v>405</v>
      </c>
      <c r="B380" s="1">
        <v>45450</v>
      </c>
      <c r="C380" t="s">
        <v>16</v>
      </c>
      <c r="D380" t="s">
        <v>28</v>
      </c>
      <c r="E380" t="s">
        <v>13</v>
      </c>
      <c r="F380" t="s">
        <v>31</v>
      </c>
      <c r="G380" s="2">
        <v>124005</v>
      </c>
      <c r="H380">
        <v>5</v>
      </c>
      <c r="I380" s="3">
        <v>0.1</v>
      </c>
      <c r="J380" s="2">
        <v>5126.83</v>
      </c>
    </row>
    <row r="381" spans="1:10" x14ac:dyDescent="0.35">
      <c r="A381" t="s">
        <v>406</v>
      </c>
      <c r="B381" s="1">
        <v>45628</v>
      </c>
      <c r="C381" t="s">
        <v>16</v>
      </c>
      <c r="D381" t="s">
        <v>12</v>
      </c>
      <c r="E381" t="s">
        <v>23</v>
      </c>
      <c r="F381" t="s">
        <v>14</v>
      </c>
      <c r="G381" s="2">
        <v>70001</v>
      </c>
      <c r="H381">
        <v>8</v>
      </c>
      <c r="I381" s="3">
        <v>0.15</v>
      </c>
      <c r="J381" s="2">
        <v>3270.45</v>
      </c>
    </row>
    <row r="382" spans="1:10" x14ac:dyDescent="0.35">
      <c r="A382" t="s">
        <v>407</v>
      </c>
      <c r="B382" s="1">
        <v>45572</v>
      </c>
      <c r="C382" t="s">
        <v>16</v>
      </c>
      <c r="D382" t="s">
        <v>28</v>
      </c>
      <c r="E382" t="s">
        <v>18</v>
      </c>
      <c r="F382" t="s">
        <v>14</v>
      </c>
      <c r="G382" s="2">
        <v>48647</v>
      </c>
      <c r="H382">
        <v>4</v>
      </c>
      <c r="I382" s="3">
        <v>0.1</v>
      </c>
      <c r="J382" s="2">
        <v>3496.38</v>
      </c>
    </row>
    <row r="383" spans="1:10" x14ac:dyDescent="0.35">
      <c r="A383" t="s">
        <v>408</v>
      </c>
      <c r="B383" s="1">
        <v>45547</v>
      </c>
      <c r="C383" t="s">
        <v>16</v>
      </c>
      <c r="D383" t="s">
        <v>22</v>
      </c>
      <c r="E383" t="s">
        <v>23</v>
      </c>
      <c r="F383" t="s">
        <v>26</v>
      </c>
      <c r="G383" s="2">
        <v>133680</v>
      </c>
      <c r="H383">
        <v>1</v>
      </c>
      <c r="I383" s="3">
        <v>0.15</v>
      </c>
      <c r="J383" s="2">
        <v>-8601.6</v>
      </c>
    </row>
    <row r="384" spans="1:10" x14ac:dyDescent="0.35">
      <c r="A384" t="s">
        <v>409</v>
      </c>
      <c r="B384" s="1">
        <v>45510</v>
      </c>
      <c r="C384" t="s">
        <v>21</v>
      </c>
      <c r="D384" t="s">
        <v>22</v>
      </c>
      <c r="E384" t="s">
        <v>13</v>
      </c>
      <c r="F384" t="s">
        <v>33</v>
      </c>
      <c r="G384" s="2">
        <v>38899</v>
      </c>
      <c r="H384">
        <v>5</v>
      </c>
      <c r="I384" s="3">
        <v>0.15</v>
      </c>
      <c r="J384" s="2">
        <v>3106.83</v>
      </c>
    </row>
    <row r="385" spans="1:10" x14ac:dyDescent="0.35">
      <c r="A385" t="s">
        <v>410</v>
      </c>
      <c r="B385" s="1">
        <v>45623</v>
      </c>
      <c r="C385" t="s">
        <v>16</v>
      </c>
      <c r="D385" t="s">
        <v>28</v>
      </c>
      <c r="E385" t="s">
        <v>13</v>
      </c>
      <c r="F385" t="s">
        <v>40</v>
      </c>
      <c r="G385" s="2">
        <v>133820</v>
      </c>
      <c r="H385">
        <v>8</v>
      </c>
      <c r="I385" s="3">
        <v>0</v>
      </c>
      <c r="J385" s="2">
        <v>9977.1200000000008</v>
      </c>
    </row>
    <row r="386" spans="1:10" x14ac:dyDescent="0.35">
      <c r="A386" t="s">
        <v>411</v>
      </c>
      <c r="B386" s="1">
        <v>45388</v>
      </c>
      <c r="C386" t="s">
        <v>21</v>
      </c>
      <c r="D386" t="s">
        <v>17</v>
      </c>
      <c r="E386" t="s">
        <v>23</v>
      </c>
      <c r="F386" t="s">
        <v>14</v>
      </c>
      <c r="G386" s="2">
        <v>36631</v>
      </c>
      <c r="H386">
        <v>5</v>
      </c>
      <c r="I386" s="3">
        <v>0.15</v>
      </c>
      <c r="J386" s="2">
        <v>1813.83</v>
      </c>
    </row>
    <row r="387" spans="1:10" x14ac:dyDescent="0.35">
      <c r="A387" t="s">
        <v>412</v>
      </c>
      <c r="B387" s="1">
        <v>45385</v>
      </c>
      <c r="C387" t="s">
        <v>21</v>
      </c>
      <c r="D387" t="s">
        <v>22</v>
      </c>
      <c r="E387" t="s">
        <v>23</v>
      </c>
      <c r="F387" t="s">
        <v>40</v>
      </c>
      <c r="G387" s="2">
        <v>85149</v>
      </c>
      <c r="H387">
        <v>9</v>
      </c>
      <c r="I387" s="3">
        <v>0.05</v>
      </c>
      <c r="J387" s="2">
        <v>2547.69</v>
      </c>
    </row>
    <row r="388" spans="1:10" x14ac:dyDescent="0.35">
      <c r="A388" t="s">
        <v>413</v>
      </c>
      <c r="B388" s="1">
        <v>45482</v>
      </c>
      <c r="C388" t="s">
        <v>11</v>
      </c>
      <c r="D388" t="s">
        <v>22</v>
      </c>
      <c r="E388" t="s">
        <v>18</v>
      </c>
      <c r="F388" t="s">
        <v>31</v>
      </c>
      <c r="G388" s="2">
        <v>103826</v>
      </c>
      <c r="H388">
        <v>2</v>
      </c>
      <c r="I388" s="3">
        <v>0.15</v>
      </c>
      <c r="J388" s="2">
        <v>5938.83</v>
      </c>
    </row>
    <row r="389" spans="1:10" x14ac:dyDescent="0.35">
      <c r="A389" t="s">
        <v>414</v>
      </c>
      <c r="B389" s="1">
        <v>45536</v>
      </c>
      <c r="C389" t="s">
        <v>11</v>
      </c>
      <c r="D389" t="s">
        <v>17</v>
      </c>
      <c r="E389" t="s">
        <v>18</v>
      </c>
      <c r="F389" t="s">
        <v>19</v>
      </c>
      <c r="G389" s="2">
        <v>104488</v>
      </c>
      <c r="H389">
        <v>2</v>
      </c>
      <c r="I389" s="3">
        <v>0</v>
      </c>
      <c r="J389" s="2">
        <v>10193.299999999999</v>
      </c>
    </row>
    <row r="390" spans="1:10" x14ac:dyDescent="0.35">
      <c r="A390" t="s">
        <v>415</v>
      </c>
      <c r="B390" s="1">
        <v>45421</v>
      </c>
      <c r="C390" t="s">
        <v>11</v>
      </c>
      <c r="D390" t="s">
        <v>12</v>
      </c>
      <c r="E390" t="s">
        <v>23</v>
      </c>
      <c r="F390" t="s">
        <v>24</v>
      </c>
      <c r="G390" s="2">
        <v>59299</v>
      </c>
      <c r="H390">
        <v>6</v>
      </c>
      <c r="I390" s="3">
        <v>0.15</v>
      </c>
      <c r="J390" s="2">
        <v>-3182.51</v>
      </c>
    </row>
    <row r="391" spans="1:10" x14ac:dyDescent="0.35">
      <c r="A391" t="s">
        <v>416</v>
      </c>
      <c r="B391" s="1">
        <v>45359</v>
      </c>
      <c r="C391" t="s">
        <v>16</v>
      </c>
      <c r="D391" t="s">
        <v>12</v>
      </c>
      <c r="E391" t="s">
        <v>13</v>
      </c>
      <c r="F391" t="s">
        <v>24</v>
      </c>
      <c r="G391" s="2">
        <v>8412</v>
      </c>
      <c r="H391">
        <v>1</v>
      </c>
      <c r="I391" s="3">
        <v>0.1</v>
      </c>
      <c r="J391" s="2">
        <v>210.56</v>
      </c>
    </row>
    <row r="392" spans="1:10" x14ac:dyDescent="0.35">
      <c r="A392" t="s">
        <v>417</v>
      </c>
      <c r="B392" s="1">
        <v>45324</v>
      </c>
      <c r="C392" t="s">
        <v>11</v>
      </c>
      <c r="D392" t="s">
        <v>12</v>
      </c>
      <c r="E392" t="s">
        <v>18</v>
      </c>
      <c r="F392" t="s">
        <v>14</v>
      </c>
      <c r="G392" s="2">
        <v>72157</v>
      </c>
      <c r="H392">
        <v>3</v>
      </c>
      <c r="I392" s="3">
        <v>0.15</v>
      </c>
      <c r="J392" s="2">
        <v>2216.88</v>
      </c>
    </row>
    <row r="393" spans="1:10" x14ac:dyDescent="0.35">
      <c r="A393" t="s">
        <v>418</v>
      </c>
      <c r="B393" s="1">
        <v>45605</v>
      </c>
      <c r="C393" t="s">
        <v>16</v>
      </c>
      <c r="D393" t="s">
        <v>28</v>
      </c>
      <c r="E393" t="s">
        <v>18</v>
      </c>
      <c r="F393" t="s">
        <v>31</v>
      </c>
      <c r="G393" s="2">
        <v>44991</v>
      </c>
      <c r="H393">
        <v>4</v>
      </c>
      <c r="I393" s="3">
        <v>0.15</v>
      </c>
      <c r="J393" s="2">
        <v>1630.16</v>
      </c>
    </row>
    <row r="394" spans="1:10" x14ac:dyDescent="0.35">
      <c r="A394" t="s">
        <v>419</v>
      </c>
      <c r="B394" s="1">
        <v>45362</v>
      </c>
      <c r="C394" t="s">
        <v>11</v>
      </c>
      <c r="D394" t="s">
        <v>28</v>
      </c>
      <c r="E394" t="s">
        <v>18</v>
      </c>
      <c r="F394" t="s">
        <v>33</v>
      </c>
      <c r="G394" s="2">
        <v>61170</v>
      </c>
      <c r="H394">
        <v>5</v>
      </c>
      <c r="I394" s="3">
        <v>0.15</v>
      </c>
      <c r="J394" s="2">
        <v>4838.41</v>
      </c>
    </row>
    <row r="395" spans="1:10" x14ac:dyDescent="0.35">
      <c r="A395" t="s">
        <v>420</v>
      </c>
      <c r="B395" s="1">
        <v>45360</v>
      </c>
      <c r="C395" t="s">
        <v>16</v>
      </c>
      <c r="D395" t="s">
        <v>22</v>
      </c>
      <c r="E395" t="s">
        <v>18</v>
      </c>
      <c r="F395" t="s">
        <v>24</v>
      </c>
      <c r="G395" s="2">
        <v>19240</v>
      </c>
      <c r="H395">
        <v>9</v>
      </c>
      <c r="I395" s="3">
        <v>0.05</v>
      </c>
      <c r="J395" s="2">
        <v>2938.58</v>
      </c>
    </row>
    <row r="396" spans="1:10" x14ac:dyDescent="0.35">
      <c r="A396" t="s">
        <v>421</v>
      </c>
      <c r="B396" s="1">
        <v>45326</v>
      </c>
      <c r="C396" t="s">
        <v>21</v>
      </c>
      <c r="D396" t="s">
        <v>17</v>
      </c>
      <c r="E396" t="s">
        <v>18</v>
      </c>
      <c r="F396" t="s">
        <v>33</v>
      </c>
      <c r="G396" s="2">
        <v>79107</v>
      </c>
      <c r="H396">
        <v>7</v>
      </c>
      <c r="I396" s="3">
        <v>0.05</v>
      </c>
      <c r="J396" s="2">
        <v>13753.86</v>
      </c>
    </row>
    <row r="397" spans="1:10" x14ac:dyDescent="0.35">
      <c r="A397" t="s">
        <v>422</v>
      </c>
      <c r="B397" s="1">
        <v>45428</v>
      </c>
      <c r="C397" t="s">
        <v>11</v>
      </c>
      <c r="D397" t="s">
        <v>12</v>
      </c>
      <c r="E397" t="s">
        <v>18</v>
      </c>
      <c r="F397" t="s">
        <v>33</v>
      </c>
      <c r="G397" s="2">
        <v>115151</v>
      </c>
      <c r="H397">
        <v>3</v>
      </c>
      <c r="I397" s="3">
        <v>0</v>
      </c>
      <c r="J397" s="2">
        <v>25586.26</v>
      </c>
    </row>
    <row r="398" spans="1:10" x14ac:dyDescent="0.35">
      <c r="A398" t="s">
        <v>423</v>
      </c>
      <c r="B398" s="1">
        <v>45295</v>
      </c>
      <c r="C398" t="s">
        <v>16</v>
      </c>
      <c r="D398" t="s">
        <v>22</v>
      </c>
      <c r="E398" t="s">
        <v>23</v>
      </c>
      <c r="F398" t="s">
        <v>33</v>
      </c>
      <c r="G398" s="2">
        <v>51838</v>
      </c>
      <c r="H398">
        <v>7</v>
      </c>
      <c r="I398" s="3">
        <v>0.15</v>
      </c>
      <c r="J398" s="2">
        <v>-3954.52</v>
      </c>
    </row>
    <row r="399" spans="1:10" x14ac:dyDescent="0.35">
      <c r="A399" t="s">
        <v>424</v>
      </c>
      <c r="B399" s="1">
        <v>45427</v>
      </c>
      <c r="C399" t="s">
        <v>21</v>
      </c>
      <c r="D399" t="s">
        <v>12</v>
      </c>
      <c r="E399" t="s">
        <v>23</v>
      </c>
      <c r="F399" t="s">
        <v>40</v>
      </c>
      <c r="G399" s="2">
        <v>57618</v>
      </c>
      <c r="H399">
        <v>4</v>
      </c>
      <c r="I399" s="3">
        <v>0</v>
      </c>
      <c r="J399" s="2">
        <v>13565.55</v>
      </c>
    </row>
    <row r="400" spans="1:10" x14ac:dyDescent="0.35">
      <c r="A400" t="s">
        <v>425</v>
      </c>
      <c r="B400" s="1">
        <v>45524</v>
      </c>
      <c r="C400" t="s">
        <v>21</v>
      </c>
      <c r="D400" t="s">
        <v>22</v>
      </c>
      <c r="E400" t="s">
        <v>18</v>
      </c>
      <c r="F400" t="s">
        <v>31</v>
      </c>
      <c r="G400" s="2">
        <v>37040</v>
      </c>
      <c r="H400">
        <v>8</v>
      </c>
      <c r="I400" s="3">
        <v>0.1</v>
      </c>
      <c r="J400" s="2">
        <v>-1483.13</v>
      </c>
    </row>
    <row r="401" spans="1:10" x14ac:dyDescent="0.35">
      <c r="A401" t="s">
        <v>426</v>
      </c>
      <c r="B401" s="1">
        <v>45465</v>
      </c>
      <c r="C401" t="s">
        <v>16</v>
      </c>
      <c r="D401" t="s">
        <v>12</v>
      </c>
      <c r="E401" t="s">
        <v>18</v>
      </c>
      <c r="F401" t="s">
        <v>31</v>
      </c>
      <c r="G401" s="2">
        <v>120872</v>
      </c>
      <c r="H401">
        <v>1</v>
      </c>
      <c r="I401" s="3">
        <v>0</v>
      </c>
      <c r="J401" s="2">
        <v>8145.72</v>
      </c>
    </row>
    <row r="402" spans="1:10" x14ac:dyDescent="0.35">
      <c r="A402" t="s">
        <v>427</v>
      </c>
      <c r="B402" s="1">
        <v>45361</v>
      </c>
      <c r="C402" t="s">
        <v>11</v>
      </c>
      <c r="D402" t="s">
        <v>22</v>
      </c>
      <c r="E402" t="s">
        <v>18</v>
      </c>
      <c r="F402" t="s">
        <v>14</v>
      </c>
      <c r="G402" s="2">
        <v>79374</v>
      </c>
      <c r="H402">
        <v>3</v>
      </c>
      <c r="I402" s="3">
        <v>0.15</v>
      </c>
      <c r="J402" s="2">
        <v>-5200.1499999999996</v>
      </c>
    </row>
    <row r="403" spans="1:10" x14ac:dyDescent="0.35">
      <c r="A403" t="s">
        <v>428</v>
      </c>
      <c r="B403" s="1">
        <v>45318</v>
      </c>
      <c r="C403" t="s">
        <v>16</v>
      </c>
      <c r="D403" t="s">
        <v>17</v>
      </c>
      <c r="E403" t="s">
        <v>13</v>
      </c>
      <c r="F403" t="s">
        <v>31</v>
      </c>
      <c r="G403" s="2">
        <v>47079</v>
      </c>
      <c r="H403">
        <v>4</v>
      </c>
      <c r="I403" s="3">
        <v>0.05</v>
      </c>
      <c r="J403" s="2">
        <v>2656.6</v>
      </c>
    </row>
    <row r="404" spans="1:10" x14ac:dyDescent="0.35">
      <c r="A404" t="s">
        <v>429</v>
      </c>
      <c r="B404" s="1">
        <v>45414</v>
      </c>
      <c r="C404" t="s">
        <v>21</v>
      </c>
      <c r="D404" t="s">
        <v>12</v>
      </c>
      <c r="E404" t="s">
        <v>18</v>
      </c>
      <c r="F404" t="s">
        <v>14</v>
      </c>
      <c r="G404" s="2">
        <v>48718</v>
      </c>
      <c r="H404">
        <v>6</v>
      </c>
      <c r="I404" s="3">
        <v>0.15</v>
      </c>
      <c r="J404" s="2">
        <v>4035.16</v>
      </c>
    </row>
    <row r="405" spans="1:10" x14ac:dyDescent="0.35">
      <c r="A405" t="s">
        <v>430</v>
      </c>
      <c r="B405" s="1">
        <v>45335</v>
      </c>
      <c r="C405" t="s">
        <v>16</v>
      </c>
      <c r="D405" t="s">
        <v>12</v>
      </c>
      <c r="E405" t="s">
        <v>18</v>
      </c>
      <c r="F405" t="s">
        <v>40</v>
      </c>
      <c r="G405" s="2">
        <v>105390</v>
      </c>
      <c r="H405">
        <v>1</v>
      </c>
      <c r="I405" s="3">
        <v>0.05</v>
      </c>
      <c r="J405" s="2">
        <v>1343.93</v>
      </c>
    </row>
    <row r="406" spans="1:10" x14ac:dyDescent="0.35">
      <c r="A406" t="s">
        <v>431</v>
      </c>
      <c r="B406" s="1">
        <v>45580</v>
      </c>
      <c r="C406" t="s">
        <v>11</v>
      </c>
      <c r="D406" t="s">
        <v>28</v>
      </c>
      <c r="E406" t="s">
        <v>18</v>
      </c>
      <c r="F406" t="s">
        <v>19</v>
      </c>
      <c r="G406" s="2">
        <v>92444</v>
      </c>
      <c r="H406">
        <v>1</v>
      </c>
      <c r="I406" s="3">
        <v>0.15</v>
      </c>
      <c r="J406" s="2">
        <v>-4174.78</v>
      </c>
    </row>
    <row r="407" spans="1:10" x14ac:dyDescent="0.35">
      <c r="A407" t="s">
        <v>432</v>
      </c>
      <c r="B407" s="1">
        <v>45525</v>
      </c>
      <c r="C407" t="s">
        <v>11</v>
      </c>
      <c r="D407" t="s">
        <v>17</v>
      </c>
      <c r="E407" t="s">
        <v>18</v>
      </c>
      <c r="F407" t="s">
        <v>19</v>
      </c>
      <c r="G407" s="2">
        <v>126557</v>
      </c>
      <c r="H407">
        <v>3</v>
      </c>
      <c r="I407" s="3">
        <v>0</v>
      </c>
      <c r="J407" s="2">
        <v>26177.62</v>
      </c>
    </row>
    <row r="408" spans="1:10" x14ac:dyDescent="0.35">
      <c r="A408" t="s">
        <v>433</v>
      </c>
      <c r="B408" s="1">
        <v>45394</v>
      </c>
      <c r="C408" t="s">
        <v>16</v>
      </c>
      <c r="D408" t="s">
        <v>28</v>
      </c>
      <c r="E408" t="s">
        <v>23</v>
      </c>
      <c r="F408" t="s">
        <v>19</v>
      </c>
      <c r="G408" s="2">
        <v>43317</v>
      </c>
      <c r="H408">
        <v>7</v>
      </c>
      <c r="I408" s="3">
        <v>0</v>
      </c>
      <c r="J408" s="2">
        <v>6279.61</v>
      </c>
    </row>
    <row r="409" spans="1:10" x14ac:dyDescent="0.35">
      <c r="A409" t="s">
        <v>434</v>
      </c>
      <c r="B409" s="1">
        <v>45547</v>
      </c>
      <c r="C409" t="s">
        <v>16</v>
      </c>
      <c r="D409" t="s">
        <v>17</v>
      </c>
      <c r="E409" t="s">
        <v>18</v>
      </c>
      <c r="F409" t="s">
        <v>40</v>
      </c>
      <c r="G409" s="2">
        <v>98191</v>
      </c>
      <c r="H409">
        <v>5</v>
      </c>
      <c r="I409" s="3">
        <v>0.1</v>
      </c>
      <c r="J409" s="2">
        <v>13915.36</v>
      </c>
    </row>
    <row r="410" spans="1:10" x14ac:dyDescent="0.35">
      <c r="A410" t="s">
        <v>435</v>
      </c>
      <c r="B410" s="1">
        <v>45621</v>
      </c>
      <c r="C410" t="s">
        <v>16</v>
      </c>
      <c r="D410" t="s">
        <v>17</v>
      </c>
      <c r="E410" t="s">
        <v>23</v>
      </c>
      <c r="F410" t="s">
        <v>24</v>
      </c>
      <c r="G410" s="2">
        <v>14806</v>
      </c>
      <c r="H410">
        <v>10</v>
      </c>
      <c r="I410" s="3">
        <v>0.15</v>
      </c>
      <c r="J410" s="2">
        <v>709</v>
      </c>
    </row>
    <row r="411" spans="1:10" x14ac:dyDescent="0.35">
      <c r="A411" t="s">
        <v>436</v>
      </c>
      <c r="B411" s="1">
        <v>45650</v>
      </c>
      <c r="C411" t="s">
        <v>11</v>
      </c>
      <c r="D411" t="s">
        <v>28</v>
      </c>
      <c r="E411" t="s">
        <v>23</v>
      </c>
      <c r="F411" t="s">
        <v>31</v>
      </c>
      <c r="G411" s="2">
        <v>9918</v>
      </c>
      <c r="H411">
        <v>9</v>
      </c>
      <c r="I411" s="3">
        <v>0</v>
      </c>
      <c r="J411" s="2">
        <v>1655.48</v>
      </c>
    </row>
    <row r="412" spans="1:10" x14ac:dyDescent="0.35">
      <c r="A412" t="s">
        <v>437</v>
      </c>
      <c r="B412" s="1">
        <v>45490</v>
      </c>
      <c r="C412" t="s">
        <v>16</v>
      </c>
      <c r="D412" t="s">
        <v>28</v>
      </c>
      <c r="E412" t="s">
        <v>13</v>
      </c>
      <c r="F412" t="s">
        <v>14</v>
      </c>
      <c r="G412" s="2">
        <v>140982</v>
      </c>
      <c r="H412">
        <v>2</v>
      </c>
      <c r="I412" s="3">
        <v>0.1</v>
      </c>
      <c r="J412" s="2">
        <v>17907.75</v>
      </c>
    </row>
    <row r="413" spans="1:10" x14ac:dyDescent="0.35">
      <c r="A413" t="s">
        <v>438</v>
      </c>
      <c r="B413" s="1">
        <v>45431</v>
      </c>
      <c r="C413" t="s">
        <v>16</v>
      </c>
      <c r="D413" t="s">
        <v>22</v>
      </c>
      <c r="E413" t="s">
        <v>13</v>
      </c>
      <c r="F413" t="s">
        <v>24</v>
      </c>
      <c r="G413" s="2">
        <v>90530</v>
      </c>
      <c r="H413">
        <v>7</v>
      </c>
      <c r="I413" s="3">
        <v>0.05</v>
      </c>
      <c r="J413" s="2">
        <v>7155.53</v>
      </c>
    </row>
    <row r="414" spans="1:10" x14ac:dyDescent="0.35">
      <c r="A414" t="s">
        <v>439</v>
      </c>
      <c r="B414" s="1">
        <v>45392</v>
      </c>
      <c r="C414" t="s">
        <v>21</v>
      </c>
      <c r="D414" t="s">
        <v>22</v>
      </c>
      <c r="E414" t="s">
        <v>23</v>
      </c>
      <c r="F414" t="s">
        <v>24</v>
      </c>
      <c r="G414" s="2">
        <v>102784</v>
      </c>
      <c r="H414">
        <v>9</v>
      </c>
      <c r="I414" s="3">
        <v>0.15</v>
      </c>
      <c r="J414" s="2">
        <v>7305.64</v>
      </c>
    </row>
    <row r="415" spans="1:10" x14ac:dyDescent="0.35">
      <c r="A415" t="s">
        <v>440</v>
      </c>
      <c r="B415" s="1">
        <v>45338</v>
      </c>
      <c r="C415" t="s">
        <v>11</v>
      </c>
      <c r="D415" t="s">
        <v>22</v>
      </c>
      <c r="E415" t="s">
        <v>13</v>
      </c>
      <c r="F415" t="s">
        <v>33</v>
      </c>
      <c r="G415" s="2">
        <v>121869</v>
      </c>
      <c r="H415">
        <v>6</v>
      </c>
      <c r="I415" s="3">
        <v>0</v>
      </c>
      <c r="J415" s="2">
        <v>26946.720000000001</v>
      </c>
    </row>
    <row r="416" spans="1:10" x14ac:dyDescent="0.35">
      <c r="A416" t="s">
        <v>441</v>
      </c>
      <c r="B416" s="1">
        <v>45639</v>
      </c>
      <c r="C416" t="s">
        <v>11</v>
      </c>
      <c r="D416" t="s">
        <v>22</v>
      </c>
      <c r="E416" t="s">
        <v>18</v>
      </c>
      <c r="F416" t="s">
        <v>26</v>
      </c>
      <c r="G416" s="2">
        <v>142248</v>
      </c>
      <c r="H416">
        <v>8</v>
      </c>
      <c r="I416" s="3">
        <v>0.15</v>
      </c>
      <c r="J416" s="2">
        <v>-12631.73</v>
      </c>
    </row>
    <row r="417" spans="1:10" x14ac:dyDescent="0.35">
      <c r="A417" t="s">
        <v>442</v>
      </c>
      <c r="B417" s="1">
        <v>45477</v>
      </c>
      <c r="C417" t="s">
        <v>11</v>
      </c>
      <c r="D417" t="s">
        <v>22</v>
      </c>
      <c r="E417" t="s">
        <v>13</v>
      </c>
      <c r="F417" t="s">
        <v>24</v>
      </c>
      <c r="G417" s="2">
        <v>137630</v>
      </c>
      <c r="H417">
        <v>9</v>
      </c>
      <c r="I417" s="3">
        <v>0.05</v>
      </c>
      <c r="J417" s="2">
        <v>9285.64</v>
      </c>
    </row>
    <row r="418" spans="1:10" x14ac:dyDescent="0.35">
      <c r="A418" t="s">
        <v>443</v>
      </c>
      <c r="B418" s="1">
        <v>45459</v>
      </c>
      <c r="C418" t="s">
        <v>11</v>
      </c>
      <c r="D418" t="s">
        <v>22</v>
      </c>
      <c r="E418" t="s">
        <v>23</v>
      </c>
      <c r="F418" t="s">
        <v>26</v>
      </c>
      <c r="G418" s="2">
        <v>101001</v>
      </c>
      <c r="H418">
        <v>2</v>
      </c>
      <c r="I418" s="3">
        <v>0.1</v>
      </c>
      <c r="J418" s="2">
        <v>3730</v>
      </c>
    </row>
    <row r="419" spans="1:10" x14ac:dyDescent="0.35">
      <c r="A419" t="s">
        <v>444</v>
      </c>
      <c r="B419" s="1">
        <v>45395</v>
      </c>
      <c r="C419" t="s">
        <v>21</v>
      </c>
      <c r="D419" t="s">
        <v>28</v>
      </c>
      <c r="E419" t="s">
        <v>23</v>
      </c>
      <c r="F419" t="s">
        <v>33</v>
      </c>
      <c r="G419" s="2">
        <v>6915</v>
      </c>
      <c r="H419">
        <v>10</v>
      </c>
      <c r="I419" s="3">
        <v>0.1</v>
      </c>
      <c r="J419" s="2">
        <v>1013.75</v>
      </c>
    </row>
    <row r="420" spans="1:10" x14ac:dyDescent="0.35">
      <c r="A420" t="s">
        <v>445</v>
      </c>
      <c r="B420" s="1">
        <v>45467</v>
      </c>
      <c r="C420" t="s">
        <v>21</v>
      </c>
      <c r="D420" t="s">
        <v>28</v>
      </c>
      <c r="E420" t="s">
        <v>18</v>
      </c>
      <c r="F420" t="s">
        <v>19</v>
      </c>
      <c r="G420" s="2">
        <v>137826</v>
      </c>
      <c r="H420">
        <v>3</v>
      </c>
      <c r="I420" s="3">
        <v>0.15</v>
      </c>
      <c r="J420" s="2">
        <v>170.86</v>
      </c>
    </row>
    <row r="421" spans="1:10" x14ac:dyDescent="0.35">
      <c r="A421" t="s">
        <v>446</v>
      </c>
      <c r="B421" s="1">
        <v>45354</v>
      </c>
      <c r="C421" t="s">
        <v>16</v>
      </c>
      <c r="D421" t="s">
        <v>22</v>
      </c>
      <c r="E421" t="s">
        <v>18</v>
      </c>
      <c r="F421" t="s">
        <v>24</v>
      </c>
      <c r="G421" s="2">
        <v>82807</v>
      </c>
      <c r="H421">
        <v>4</v>
      </c>
      <c r="I421" s="3">
        <v>0.05</v>
      </c>
      <c r="J421" s="2">
        <v>8376.56</v>
      </c>
    </row>
    <row r="422" spans="1:10" x14ac:dyDescent="0.35">
      <c r="A422" t="s">
        <v>447</v>
      </c>
      <c r="B422" s="1">
        <v>45357</v>
      </c>
      <c r="C422" t="s">
        <v>16</v>
      </c>
      <c r="D422" t="s">
        <v>22</v>
      </c>
      <c r="E422" t="s">
        <v>23</v>
      </c>
      <c r="F422" t="s">
        <v>40</v>
      </c>
      <c r="G422" s="2">
        <v>135724</v>
      </c>
      <c r="H422">
        <v>7</v>
      </c>
      <c r="I422" s="3">
        <v>0.1</v>
      </c>
      <c r="J422" s="2">
        <v>12023.2</v>
      </c>
    </row>
    <row r="423" spans="1:10" x14ac:dyDescent="0.35">
      <c r="A423" t="s">
        <v>448</v>
      </c>
      <c r="B423" s="1">
        <v>45532</v>
      </c>
      <c r="C423" t="s">
        <v>11</v>
      </c>
      <c r="D423" t="s">
        <v>12</v>
      </c>
      <c r="E423" t="s">
        <v>13</v>
      </c>
      <c r="F423" t="s">
        <v>40</v>
      </c>
      <c r="G423" s="2">
        <v>8247</v>
      </c>
      <c r="H423">
        <v>8</v>
      </c>
      <c r="I423" s="3">
        <v>0</v>
      </c>
      <c r="J423" s="2">
        <v>1553.18</v>
      </c>
    </row>
    <row r="424" spans="1:10" x14ac:dyDescent="0.35">
      <c r="A424" t="s">
        <v>449</v>
      </c>
      <c r="B424" s="1">
        <v>45634</v>
      </c>
      <c r="C424" t="s">
        <v>21</v>
      </c>
      <c r="D424" t="s">
        <v>17</v>
      </c>
      <c r="E424" t="s">
        <v>23</v>
      </c>
      <c r="F424" t="s">
        <v>31</v>
      </c>
      <c r="G424" s="2">
        <v>27053</v>
      </c>
      <c r="H424">
        <v>9</v>
      </c>
      <c r="I424" s="3">
        <v>0</v>
      </c>
      <c r="J424" s="2">
        <v>2324.5100000000002</v>
      </c>
    </row>
    <row r="425" spans="1:10" x14ac:dyDescent="0.35">
      <c r="A425" t="s">
        <v>450</v>
      </c>
      <c r="B425" s="1">
        <v>45605</v>
      </c>
      <c r="C425" t="s">
        <v>16</v>
      </c>
      <c r="D425" t="s">
        <v>28</v>
      </c>
      <c r="E425" t="s">
        <v>18</v>
      </c>
      <c r="F425" t="s">
        <v>33</v>
      </c>
      <c r="G425" s="2">
        <v>114409</v>
      </c>
      <c r="H425">
        <v>5</v>
      </c>
      <c r="I425" s="3">
        <v>0</v>
      </c>
      <c r="J425" s="2">
        <v>7261.09</v>
      </c>
    </row>
    <row r="426" spans="1:10" x14ac:dyDescent="0.35">
      <c r="A426" t="s">
        <v>451</v>
      </c>
      <c r="B426" s="1">
        <v>45297</v>
      </c>
      <c r="C426" t="s">
        <v>11</v>
      </c>
      <c r="D426" t="s">
        <v>12</v>
      </c>
      <c r="E426" t="s">
        <v>18</v>
      </c>
      <c r="F426" t="s">
        <v>33</v>
      </c>
      <c r="G426" s="2">
        <v>63766</v>
      </c>
      <c r="H426">
        <v>4</v>
      </c>
      <c r="I426" s="3">
        <v>0</v>
      </c>
      <c r="J426" s="2">
        <v>14767.1</v>
      </c>
    </row>
    <row r="427" spans="1:10" x14ac:dyDescent="0.35">
      <c r="A427" t="s">
        <v>452</v>
      </c>
      <c r="B427" s="1">
        <v>45434</v>
      </c>
      <c r="C427" t="s">
        <v>11</v>
      </c>
      <c r="D427" t="s">
        <v>28</v>
      </c>
      <c r="E427" t="s">
        <v>18</v>
      </c>
      <c r="F427" t="s">
        <v>33</v>
      </c>
      <c r="G427" s="2">
        <v>14195</v>
      </c>
      <c r="H427">
        <v>4</v>
      </c>
      <c r="I427" s="3">
        <v>0.1</v>
      </c>
      <c r="J427" s="2">
        <v>930</v>
      </c>
    </row>
    <row r="428" spans="1:10" x14ac:dyDescent="0.35">
      <c r="A428" t="s">
        <v>453</v>
      </c>
      <c r="B428" s="1">
        <v>45461</v>
      </c>
      <c r="C428" t="s">
        <v>11</v>
      </c>
      <c r="D428" t="s">
        <v>17</v>
      </c>
      <c r="E428" t="s">
        <v>13</v>
      </c>
      <c r="F428" t="s">
        <v>14</v>
      </c>
      <c r="G428" s="2">
        <v>39540</v>
      </c>
      <c r="H428">
        <v>9</v>
      </c>
      <c r="I428" s="3">
        <v>0.1</v>
      </c>
      <c r="J428" s="2">
        <v>1503.55</v>
      </c>
    </row>
    <row r="429" spans="1:10" x14ac:dyDescent="0.35">
      <c r="A429" t="s">
        <v>454</v>
      </c>
      <c r="B429" s="1">
        <v>45541</v>
      </c>
      <c r="C429" t="s">
        <v>16</v>
      </c>
      <c r="D429" t="s">
        <v>22</v>
      </c>
      <c r="E429" t="s">
        <v>23</v>
      </c>
      <c r="F429" t="s">
        <v>40</v>
      </c>
      <c r="G429" s="2">
        <v>24200</v>
      </c>
      <c r="H429">
        <v>2</v>
      </c>
      <c r="I429" s="3">
        <v>0.1</v>
      </c>
      <c r="J429" s="2">
        <v>-266.43</v>
      </c>
    </row>
    <row r="430" spans="1:10" x14ac:dyDescent="0.35">
      <c r="A430" t="s">
        <v>455</v>
      </c>
      <c r="B430" s="1">
        <v>45375</v>
      </c>
      <c r="C430" t="s">
        <v>16</v>
      </c>
      <c r="D430" t="s">
        <v>28</v>
      </c>
      <c r="E430" t="s">
        <v>18</v>
      </c>
      <c r="F430" t="s">
        <v>26</v>
      </c>
      <c r="G430" s="2">
        <v>144629</v>
      </c>
      <c r="H430">
        <v>6</v>
      </c>
      <c r="I430" s="3">
        <v>0.1</v>
      </c>
      <c r="J430" s="2">
        <v>21183.3</v>
      </c>
    </row>
    <row r="431" spans="1:10" x14ac:dyDescent="0.35">
      <c r="A431" t="s">
        <v>456</v>
      </c>
      <c r="B431" s="1">
        <v>45634</v>
      </c>
      <c r="C431" t="s">
        <v>11</v>
      </c>
      <c r="D431" t="s">
        <v>12</v>
      </c>
      <c r="E431" t="s">
        <v>13</v>
      </c>
      <c r="F431" t="s">
        <v>40</v>
      </c>
      <c r="G431" s="2">
        <v>45552</v>
      </c>
      <c r="H431">
        <v>9</v>
      </c>
      <c r="I431" s="3">
        <v>0.05</v>
      </c>
      <c r="J431" s="2">
        <v>0.37</v>
      </c>
    </row>
    <row r="432" spans="1:10" x14ac:dyDescent="0.35">
      <c r="A432" t="s">
        <v>457</v>
      </c>
      <c r="B432" s="1">
        <v>45311</v>
      </c>
      <c r="C432" t="s">
        <v>21</v>
      </c>
      <c r="D432" t="s">
        <v>17</v>
      </c>
      <c r="E432" t="s">
        <v>13</v>
      </c>
      <c r="F432" t="s">
        <v>14</v>
      </c>
      <c r="G432" s="2">
        <v>89219</v>
      </c>
      <c r="H432">
        <v>1</v>
      </c>
      <c r="I432" s="3">
        <v>0.05</v>
      </c>
      <c r="J432" s="2">
        <v>4051.41</v>
      </c>
    </row>
    <row r="433" spans="1:10" x14ac:dyDescent="0.35">
      <c r="A433" t="s">
        <v>458</v>
      </c>
      <c r="B433" s="1">
        <v>45437</v>
      </c>
      <c r="C433" t="s">
        <v>11</v>
      </c>
      <c r="D433" t="s">
        <v>28</v>
      </c>
      <c r="E433" t="s">
        <v>18</v>
      </c>
      <c r="F433" t="s">
        <v>14</v>
      </c>
      <c r="G433" s="2">
        <v>30795</v>
      </c>
      <c r="H433">
        <v>10</v>
      </c>
      <c r="I433" s="3">
        <v>0.1</v>
      </c>
      <c r="J433" s="2">
        <v>-1254.29</v>
      </c>
    </row>
    <row r="434" spans="1:10" x14ac:dyDescent="0.35">
      <c r="A434" t="s">
        <v>459</v>
      </c>
      <c r="B434" s="1">
        <v>45383</v>
      </c>
      <c r="C434" t="s">
        <v>11</v>
      </c>
      <c r="D434" t="s">
        <v>12</v>
      </c>
      <c r="E434" t="s">
        <v>13</v>
      </c>
      <c r="F434" t="s">
        <v>24</v>
      </c>
      <c r="G434" s="2">
        <v>141461</v>
      </c>
      <c r="H434">
        <v>10</v>
      </c>
      <c r="I434" s="3">
        <v>0.15</v>
      </c>
      <c r="J434" s="2">
        <v>3074.53</v>
      </c>
    </row>
    <row r="435" spans="1:10" x14ac:dyDescent="0.35">
      <c r="A435" t="s">
        <v>460</v>
      </c>
      <c r="B435" s="1">
        <v>45513</v>
      </c>
      <c r="C435" t="s">
        <v>16</v>
      </c>
      <c r="D435" t="s">
        <v>22</v>
      </c>
      <c r="E435" t="s">
        <v>23</v>
      </c>
      <c r="F435" t="s">
        <v>40</v>
      </c>
      <c r="G435" s="2">
        <v>61514</v>
      </c>
      <c r="H435">
        <v>2</v>
      </c>
      <c r="I435" s="3">
        <v>0.05</v>
      </c>
      <c r="J435" s="2">
        <v>10326.81</v>
      </c>
    </row>
    <row r="436" spans="1:10" x14ac:dyDescent="0.35">
      <c r="A436" t="s">
        <v>461</v>
      </c>
      <c r="B436" s="1">
        <v>45335</v>
      </c>
      <c r="C436" t="s">
        <v>16</v>
      </c>
      <c r="D436" t="s">
        <v>17</v>
      </c>
      <c r="E436" t="s">
        <v>13</v>
      </c>
      <c r="F436" t="s">
        <v>24</v>
      </c>
      <c r="G436" s="2">
        <v>76457</v>
      </c>
      <c r="H436">
        <v>3</v>
      </c>
      <c r="I436" s="3">
        <v>0.15</v>
      </c>
      <c r="J436" s="2">
        <v>-6860.11</v>
      </c>
    </row>
    <row r="437" spans="1:10" x14ac:dyDescent="0.35">
      <c r="A437" t="s">
        <v>462</v>
      </c>
      <c r="B437" s="1">
        <v>45526</v>
      </c>
      <c r="C437" t="s">
        <v>11</v>
      </c>
      <c r="D437" t="s">
        <v>12</v>
      </c>
      <c r="E437" t="s">
        <v>13</v>
      </c>
      <c r="F437" t="s">
        <v>31</v>
      </c>
      <c r="G437" s="2">
        <v>115401</v>
      </c>
      <c r="H437">
        <v>2</v>
      </c>
      <c r="I437" s="3">
        <v>0.1</v>
      </c>
      <c r="J437" s="2">
        <v>3047.45</v>
      </c>
    </row>
    <row r="438" spans="1:10" x14ac:dyDescent="0.35">
      <c r="A438" t="s">
        <v>463</v>
      </c>
      <c r="B438" s="1">
        <v>45539</v>
      </c>
      <c r="C438" t="s">
        <v>16</v>
      </c>
      <c r="D438" t="s">
        <v>12</v>
      </c>
      <c r="E438" t="s">
        <v>18</v>
      </c>
      <c r="F438" t="s">
        <v>33</v>
      </c>
      <c r="G438" s="2">
        <v>127545</v>
      </c>
      <c r="H438">
        <v>5</v>
      </c>
      <c r="I438" s="3">
        <v>0.15</v>
      </c>
      <c r="J438" s="2">
        <v>263.62</v>
      </c>
    </row>
    <row r="439" spans="1:10" x14ac:dyDescent="0.35">
      <c r="A439" t="s">
        <v>464</v>
      </c>
      <c r="B439" s="1">
        <v>45367</v>
      </c>
      <c r="C439" t="s">
        <v>21</v>
      </c>
      <c r="D439" t="s">
        <v>22</v>
      </c>
      <c r="E439" t="s">
        <v>13</v>
      </c>
      <c r="F439" t="s">
        <v>31</v>
      </c>
      <c r="G439" s="2">
        <v>29872</v>
      </c>
      <c r="H439">
        <v>5</v>
      </c>
      <c r="I439" s="3">
        <v>0.15</v>
      </c>
      <c r="J439" s="2">
        <v>-193.09</v>
      </c>
    </row>
    <row r="440" spans="1:10" x14ac:dyDescent="0.35">
      <c r="A440" t="s">
        <v>465</v>
      </c>
      <c r="B440" s="1">
        <v>45436</v>
      </c>
      <c r="C440" t="s">
        <v>11</v>
      </c>
      <c r="D440" t="s">
        <v>22</v>
      </c>
      <c r="E440" t="s">
        <v>13</v>
      </c>
      <c r="F440" t="s">
        <v>31</v>
      </c>
      <c r="G440" s="2">
        <v>108319</v>
      </c>
      <c r="H440">
        <v>3</v>
      </c>
      <c r="I440" s="3">
        <v>0</v>
      </c>
      <c r="J440" s="2">
        <v>15946.47</v>
      </c>
    </row>
    <row r="441" spans="1:10" x14ac:dyDescent="0.35">
      <c r="A441" t="s">
        <v>466</v>
      </c>
      <c r="B441" s="1">
        <v>45635</v>
      </c>
      <c r="C441" t="s">
        <v>16</v>
      </c>
      <c r="D441" t="s">
        <v>28</v>
      </c>
      <c r="E441" t="s">
        <v>18</v>
      </c>
      <c r="F441" t="s">
        <v>26</v>
      </c>
      <c r="G441" s="2">
        <v>100795</v>
      </c>
      <c r="H441">
        <v>10</v>
      </c>
      <c r="I441" s="3">
        <v>0.05</v>
      </c>
      <c r="J441" s="2">
        <v>18008.34</v>
      </c>
    </row>
    <row r="442" spans="1:10" x14ac:dyDescent="0.35">
      <c r="A442" t="s">
        <v>467</v>
      </c>
      <c r="B442" s="1">
        <v>45550</v>
      </c>
      <c r="C442" t="s">
        <v>21</v>
      </c>
      <c r="D442" t="s">
        <v>28</v>
      </c>
      <c r="E442" t="s">
        <v>23</v>
      </c>
      <c r="F442" t="s">
        <v>40</v>
      </c>
      <c r="G442" s="2">
        <v>82992</v>
      </c>
      <c r="H442">
        <v>4</v>
      </c>
      <c r="I442" s="3">
        <v>0.05</v>
      </c>
      <c r="J442" s="2">
        <v>7459.04</v>
      </c>
    </row>
    <row r="443" spans="1:10" x14ac:dyDescent="0.35">
      <c r="A443" t="s">
        <v>468</v>
      </c>
      <c r="B443" s="1">
        <v>45430</v>
      </c>
      <c r="C443" t="s">
        <v>11</v>
      </c>
      <c r="D443" t="s">
        <v>28</v>
      </c>
      <c r="E443" t="s">
        <v>23</v>
      </c>
      <c r="F443" t="s">
        <v>19</v>
      </c>
      <c r="G443" s="2">
        <v>12026</v>
      </c>
      <c r="H443">
        <v>1</v>
      </c>
      <c r="I443" s="3">
        <v>0</v>
      </c>
      <c r="J443" s="2">
        <v>1716.81</v>
      </c>
    </row>
    <row r="444" spans="1:10" x14ac:dyDescent="0.35">
      <c r="A444" t="s">
        <v>469</v>
      </c>
      <c r="B444" s="1">
        <v>45454</v>
      </c>
      <c r="C444" t="s">
        <v>11</v>
      </c>
      <c r="D444" t="s">
        <v>17</v>
      </c>
      <c r="E444" t="s">
        <v>18</v>
      </c>
      <c r="F444" t="s">
        <v>31</v>
      </c>
      <c r="G444" s="2">
        <v>86601</v>
      </c>
      <c r="H444">
        <v>9</v>
      </c>
      <c r="I444" s="3">
        <v>0</v>
      </c>
      <c r="J444" s="2">
        <v>19220.419999999998</v>
      </c>
    </row>
    <row r="445" spans="1:10" x14ac:dyDescent="0.35">
      <c r="A445" t="s">
        <v>470</v>
      </c>
      <c r="B445" s="1">
        <v>45486</v>
      </c>
      <c r="C445" t="s">
        <v>11</v>
      </c>
      <c r="D445" t="s">
        <v>22</v>
      </c>
      <c r="E445" t="s">
        <v>18</v>
      </c>
      <c r="F445" t="s">
        <v>33</v>
      </c>
      <c r="G445" s="2">
        <v>111901</v>
      </c>
      <c r="H445">
        <v>3</v>
      </c>
      <c r="I445" s="3">
        <v>0.1</v>
      </c>
      <c r="J445" s="2">
        <v>2730.24</v>
      </c>
    </row>
    <row r="446" spans="1:10" x14ac:dyDescent="0.35">
      <c r="A446" t="s">
        <v>471</v>
      </c>
      <c r="B446" s="1">
        <v>45467</v>
      </c>
      <c r="C446" t="s">
        <v>21</v>
      </c>
      <c r="D446" t="s">
        <v>22</v>
      </c>
      <c r="E446" t="s">
        <v>13</v>
      </c>
      <c r="F446" t="s">
        <v>19</v>
      </c>
      <c r="G446" s="2">
        <v>99935</v>
      </c>
      <c r="H446">
        <v>8</v>
      </c>
      <c r="I446" s="3">
        <v>0.05</v>
      </c>
      <c r="J446" s="2">
        <v>276.92</v>
      </c>
    </row>
    <row r="447" spans="1:10" x14ac:dyDescent="0.35">
      <c r="A447" t="s">
        <v>472</v>
      </c>
      <c r="B447" s="1">
        <v>45297</v>
      </c>
      <c r="C447" t="s">
        <v>16</v>
      </c>
      <c r="D447" t="s">
        <v>28</v>
      </c>
      <c r="E447" t="s">
        <v>23</v>
      </c>
      <c r="F447" t="s">
        <v>24</v>
      </c>
      <c r="G447" s="2">
        <v>122014</v>
      </c>
      <c r="H447">
        <v>3</v>
      </c>
      <c r="I447" s="3">
        <v>0</v>
      </c>
      <c r="J447" s="2">
        <v>27704.59</v>
      </c>
    </row>
    <row r="448" spans="1:10" x14ac:dyDescent="0.35">
      <c r="A448" t="s">
        <v>473</v>
      </c>
      <c r="B448" s="1">
        <v>45603</v>
      </c>
      <c r="C448" t="s">
        <v>21</v>
      </c>
      <c r="D448" t="s">
        <v>12</v>
      </c>
      <c r="E448" t="s">
        <v>23</v>
      </c>
      <c r="F448" t="s">
        <v>31</v>
      </c>
      <c r="G448" s="2">
        <v>84619</v>
      </c>
      <c r="H448">
        <v>2</v>
      </c>
      <c r="I448" s="3">
        <v>0.05</v>
      </c>
      <c r="J448" s="2">
        <v>5509.45</v>
      </c>
    </row>
    <row r="449" spans="1:10" x14ac:dyDescent="0.35">
      <c r="A449" t="s">
        <v>474</v>
      </c>
      <c r="B449" s="1">
        <v>45562</v>
      </c>
      <c r="C449" t="s">
        <v>21</v>
      </c>
      <c r="D449" t="s">
        <v>28</v>
      </c>
      <c r="E449" t="s">
        <v>13</v>
      </c>
      <c r="F449" t="s">
        <v>26</v>
      </c>
      <c r="G449" s="2">
        <v>70213</v>
      </c>
      <c r="H449">
        <v>9</v>
      </c>
      <c r="I449" s="3">
        <v>0.05</v>
      </c>
      <c r="J449" s="2">
        <v>12569.28</v>
      </c>
    </row>
    <row r="450" spans="1:10" x14ac:dyDescent="0.35">
      <c r="A450" t="s">
        <v>475</v>
      </c>
      <c r="B450" s="1">
        <v>45432</v>
      </c>
      <c r="C450" t="s">
        <v>11</v>
      </c>
      <c r="D450" t="s">
        <v>28</v>
      </c>
      <c r="E450" t="s">
        <v>23</v>
      </c>
      <c r="F450" t="s">
        <v>19</v>
      </c>
      <c r="G450" s="2">
        <v>110525</v>
      </c>
      <c r="H450">
        <v>7</v>
      </c>
      <c r="I450" s="3">
        <v>0.15</v>
      </c>
      <c r="J450" s="2">
        <v>-37.54</v>
      </c>
    </row>
    <row r="451" spans="1:10" x14ac:dyDescent="0.35">
      <c r="A451" t="s">
        <v>476</v>
      </c>
      <c r="B451" s="1">
        <v>45486</v>
      </c>
      <c r="C451" t="s">
        <v>11</v>
      </c>
      <c r="D451" t="s">
        <v>12</v>
      </c>
      <c r="E451" t="s">
        <v>23</v>
      </c>
      <c r="F451" t="s">
        <v>33</v>
      </c>
      <c r="G451" s="2">
        <v>76647</v>
      </c>
      <c r="H451">
        <v>7</v>
      </c>
      <c r="I451" s="3">
        <v>0.05</v>
      </c>
      <c r="J451" s="2">
        <v>15106.08</v>
      </c>
    </row>
    <row r="452" spans="1:10" x14ac:dyDescent="0.35">
      <c r="A452" t="s">
        <v>477</v>
      </c>
      <c r="B452" s="1">
        <v>45629</v>
      </c>
      <c r="C452" t="s">
        <v>16</v>
      </c>
      <c r="D452" t="s">
        <v>12</v>
      </c>
      <c r="E452" t="s">
        <v>23</v>
      </c>
      <c r="F452" t="s">
        <v>26</v>
      </c>
      <c r="G452" s="2">
        <v>66969</v>
      </c>
      <c r="H452">
        <v>9</v>
      </c>
      <c r="I452" s="3">
        <v>0</v>
      </c>
      <c r="J452" s="2">
        <v>15601.13</v>
      </c>
    </row>
    <row r="453" spans="1:10" x14ac:dyDescent="0.35">
      <c r="A453" t="s">
        <v>478</v>
      </c>
      <c r="B453" s="1">
        <v>45505</v>
      </c>
      <c r="C453" t="s">
        <v>21</v>
      </c>
      <c r="D453" t="s">
        <v>17</v>
      </c>
      <c r="E453" t="s">
        <v>18</v>
      </c>
      <c r="F453" t="s">
        <v>33</v>
      </c>
      <c r="G453" s="2">
        <v>95915</v>
      </c>
      <c r="H453">
        <v>5</v>
      </c>
      <c r="I453" s="3">
        <v>0.15</v>
      </c>
      <c r="J453" s="2">
        <v>5265</v>
      </c>
    </row>
    <row r="454" spans="1:10" x14ac:dyDescent="0.35">
      <c r="A454" t="s">
        <v>479</v>
      </c>
      <c r="B454" s="1">
        <v>45537</v>
      </c>
      <c r="C454" t="s">
        <v>21</v>
      </c>
      <c r="D454" t="s">
        <v>17</v>
      </c>
      <c r="E454" t="s">
        <v>23</v>
      </c>
      <c r="F454" t="s">
        <v>33</v>
      </c>
      <c r="G454" s="2">
        <v>83665</v>
      </c>
      <c r="H454">
        <v>5</v>
      </c>
      <c r="I454" s="3">
        <v>0.05</v>
      </c>
      <c r="J454" s="2">
        <v>5628.72</v>
      </c>
    </row>
    <row r="455" spans="1:10" x14ac:dyDescent="0.35">
      <c r="A455" t="s">
        <v>480</v>
      </c>
      <c r="B455" s="1">
        <v>45304</v>
      </c>
      <c r="C455" t="s">
        <v>11</v>
      </c>
      <c r="D455" t="s">
        <v>22</v>
      </c>
      <c r="E455" t="s">
        <v>23</v>
      </c>
      <c r="F455" t="s">
        <v>24</v>
      </c>
      <c r="G455" s="2">
        <v>113943</v>
      </c>
      <c r="H455">
        <v>7</v>
      </c>
      <c r="I455" s="3">
        <v>0</v>
      </c>
      <c r="J455" s="2">
        <v>18620.990000000002</v>
      </c>
    </row>
    <row r="456" spans="1:10" x14ac:dyDescent="0.35">
      <c r="A456" t="s">
        <v>481</v>
      </c>
      <c r="B456" s="1">
        <v>45413</v>
      </c>
      <c r="C456" t="s">
        <v>16</v>
      </c>
      <c r="D456" t="s">
        <v>12</v>
      </c>
      <c r="E456" t="s">
        <v>18</v>
      </c>
      <c r="F456" t="s">
        <v>31</v>
      </c>
      <c r="G456" s="2">
        <v>149802</v>
      </c>
      <c r="H456">
        <v>7</v>
      </c>
      <c r="I456" s="3">
        <v>0.15</v>
      </c>
      <c r="J456" s="2">
        <v>7084.82</v>
      </c>
    </row>
    <row r="457" spans="1:10" x14ac:dyDescent="0.35">
      <c r="A457" t="s">
        <v>482</v>
      </c>
      <c r="B457" s="1">
        <v>45433</v>
      </c>
      <c r="C457" t="s">
        <v>21</v>
      </c>
      <c r="D457" t="s">
        <v>12</v>
      </c>
      <c r="E457" t="s">
        <v>18</v>
      </c>
      <c r="F457" t="s">
        <v>31</v>
      </c>
      <c r="G457" s="2">
        <v>46847</v>
      </c>
      <c r="H457">
        <v>2</v>
      </c>
      <c r="I457" s="3">
        <v>0.15</v>
      </c>
      <c r="J457" s="2">
        <v>-1817.46</v>
      </c>
    </row>
    <row r="458" spans="1:10" x14ac:dyDescent="0.35">
      <c r="A458" t="s">
        <v>483</v>
      </c>
      <c r="B458" s="1">
        <v>45386</v>
      </c>
      <c r="C458" t="s">
        <v>11</v>
      </c>
      <c r="D458" t="s">
        <v>28</v>
      </c>
      <c r="E458" t="s">
        <v>18</v>
      </c>
      <c r="F458" t="s">
        <v>14</v>
      </c>
      <c r="G458" s="2">
        <v>133627</v>
      </c>
      <c r="H458">
        <v>7</v>
      </c>
      <c r="I458" s="3">
        <v>0.05</v>
      </c>
      <c r="J458" s="2">
        <v>18148.04</v>
      </c>
    </row>
    <row r="459" spans="1:10" x14ac:dyDescent="0.35">
      <c r="A459" t="s">
        <v>484</v>
      </c>
      <c r="B459" s="1">
        <v>45413</v>
      </c>
      <c r="C459" t="s">
        <v>11</v>
      </c>
      <c r="D459" t="s">
        <v>12</v>
      </c>
      <c r="E459" t="s">
        <v>13</v>
      </c>
      <c r="F459" t="s">
        <v>31</v>
      </c>
      <c r="G459" s="2">
        <v>7722</v>
      </c>
      <c r="H459">
        <v>1</v>
      </c>
      <c r="I459" s="3">
        <v>0</v>
      </c>
      <c r="J459" s="2">
        <v>828.67</v>
      </c>
    </row>
    <row r="460" spans="1:10" x14ac:dyDescent="0.35">
      <c r="A460" t="s">
        <v>485</v>
      </c>
      <c r="B460" s="1">
        <v>45326</v>
      </c>
      <c r="C460" t="s">
        <v>11</v>
      </c>
      <c r="D460" t="s">
        <v>22</v>
      </c>
      <c r="E460" t="s">
        <v>13</v>
      </c>
      <c r="F460" t="s">
        <v>19</v>
      </c>
      <c r="G460" s="2">
        <v>96567</v>
      </c>
      <c r="H460">
        <v>9</v>
      </c>
      <c r="I460" s="3">
        <v>0.1</v>
      </c>
      <c r="J460" s="2">
        <v>5794.96</v>
      </c>
    </row>
    <row r="461" spans="1:10" x14ac:dyDescent="0.35">
      <c r="A461" t="s">
        <v>486</v>
      </c>
      <c r="B461" s="1">
        <v>45451</v>
      </c>
      <c r="C461" t="s">
        <v>11</v>
      </c>
      <c r="D461" t="s">
        <v>17</v>
      </c>
      <c r="E461" t="s">
        <v>13</v>
      </c>
      <c r="F461" t="s">
        <v>19</v>
      </c>
      <c r="G461" s="2">
        <v>134693</v>
      </c>
      <c r="H461">
        <v>10</v>
      </c>
      <c r="I461" s="3">
        <v>0.1</v>
      </c>
      <c r="J461" s="2">
        <v>17206.48</v>
      </c>
    </row>
    <row r="462" spans="1:10" x14ac:dyDescent="0.35">
      <c r="A462" t="s">
        <v>487</v>
      </c>
      <c r="B462" s="1">
        <v>45425</v>
      </c>
      <c r="C462" t="s">
        <v>11</v>
      </c>
      <c r="D462" t="s">
        <v>17</v>
      </c>
      <c r="E462" t="s">
        <v>18</v>
      </c>
      <c r="F462" t="s">
        <v>14</v>
      </c>
      <c r="G462" s="2">
        <v>9762</v>
      </c>
      <c r="H462">
        <v>9</v>
      </c>
      <c r="I462" s="3">
        <v>0.05</v>
      </c>
      <c r="J462" s="2">
        <v>659.53</v>
      </c>
    </row>
    <row r="463" spans="1:10" x14ac:dyDescent="0.35">
      <c r="A463" t="s">
        <v>488</v>
      </c>
      <c r="B463" s="1">
        <v>45377</v>
      </c>
      <c r="C463" t="s">
        <v>16</v>
      </c>
      <c r="D463" t="s">
        <v>12</v>
      </c>
      <c r="E463" t="s">
        <v>18</v>
      </c>
      <c r="F463" t="s">
        <v>14</v>
      </c>
      <c r="G463" s="2">
        <v>101486</v>
      </c>
      <c r="H463">
        <v>2</v>
      </c>
      <c r="I463" s="3">
        <v>0</v>
      </c>
      <c r="J463" s="2">
        <v>15549.71</v>
      </c>
    </row>
    <row r="464" spans="1:10" x14ac:dyDescent="0.35">
      <c r="A464" t="s">
        <v>489</v>
      </c>
      <c r="B464" s="1">
        <v>45556</v>
      </c>
      <c r="C464" t="s">
        <v>16</v>
      </c>
      <c r="D464" t="s">
        <v>12</v>
      </c>
      <c r="E464" t="s">
        <v>23</v>
      </c>
      <c r="F464" t="s">
        <v>33</v>
      </c>
      <c r="G464" s="2">
        <v>42283</v>
      </c>
      <c r="H464">
        <v>3</v>
      </c>
      <c r="I464" s="3">
        <v>0.15</v>
      </c>
      <c r="J464" s="2">
        <v>-2181.6999999999998</v>
      </c>
    </row>
    <row r="465" spans="1:10" x14ac:dyDescent="0.35">
      <c r="A465" t="s">
        <v>490</v>
      </c>
      <c r="B465" s="1">
        <v>45391</v>
      </c>
      <c r="C465" t="s">
        <v>21</v>
      </c>
      <c r="D465" t="s">
        <v>12</v>
      </c>
      <c r="E465" t="s">
        <v>23</v>
      </c>
      <c r="F465" t="s">
        <v>24</v>
      </c>
      <c r="G465" s="2">
        <v>43844</v>
      </c>
      <c r="H465">
        <v>3</v>
      </c>
      <c r="I465" s="3">
        <v>0</v>
      </c>
      <c r="J465" s="2">
        <v>10245.549999999999</v>
      </c>
    </row>
    <row r="466" spans="1:10" x14ac:dyDescent="0.35">
      <c r="A466" t="s">
        <v>491</v>
      </c>
      <c r="B466" s="1">
        <v>45301</v>
      </c>
      <c r="C466" t="s">
        <v>21</v>
      </c>
      <c r="D466" t="s">
        <v>17</v>
      </c>
      <c r="E466" t="s">
        <v>13</v>
      </c>
      <c r="F466" t="s">
        <v>33</v>
      </c>
      <c r="G466" s="2">
        <v>119907</v>
      </c>
      <c r="H466">
        <v>10</v>
      </c>
      <c r="I466" s="3">
        <v>0.1</v>
      </c>
      <c r="J466" s="2">
        <v>12423.28</v>
      </c>
    </row>
    <row r="467" spans="1:10" x14ac:dyDescent="0.35">
      <c r="A467" t="s">
        <v>492</v>
      </c>
      <c r="B467" s="1">
        <v>45476</v>
      </c>
      <c r="C467" t="s">
        <v>11</v>
      </c>
      <c r="D467" t="s">
        <v>28</v>
      </c>
      <c r="E467" t="s">
        <v>13</v>
      </c>
      <c r="F467" t="s">
        <v>31</v>
      </c>
      <c r="G467" s="2">
        <v>13914</v>
      </c>
      <c r="H467">
        <v>4</v>
      </c>
      <c r="I467" s="3">
        <v>0</v>
      </c>
      <c r="J467" s="2">
        <v>1515.11</v>
      </c>
    </row>
    <row r="468" spans="1:10" x14ac:dyDescent="0.35">
      <c r="A468" t="s">
        <v>493</v>
      </c>
      <c r="B468" s="1">
        <v>45507</v>
      </c>
      <c r="C468" t="s">
        <v>16</v>
      </c>
      <c r="D468" t="s">
        <v>28</v>
      </c>
      <c r="E468" t="s">
        <v>13</v>
      </c>
      <c r="F468" t="s">
        <v>14</v>
      </c>
      <c r="G468" s="2">
        <v>85620</v>
      </c>
      <c r="H468">
        <v>10</v>
      </c>
      <c r="I468" s="3">
        <v>0.1</v>
      </c>
      <c r="J468" s="2">
        <v>826.66</v>
      </c>
    </row>
    <row r="469" spans="1:10" x14ac:dyDescent="0.35">
      <c r="A469" t="s">
        <v>494</v>
      </c>
      <c r="B469" s="1">
        <v>45368</v>
      </c>
      <c r="C469" t="s">
        <v>21</v>
      </c>
      <c r="D469" t="s">
        <v>22</v>
      </c>
      <c r="E469" t="s">
        <v>18</v>
      </c>
      <c r="F469" t="s">
        <v>26</v>
      </c>
      <c r="G469" s="2">
        <v>50408</v>
      </c>
      <c r="H469">
        <v>7</v>
      </c>
      <c r="I469" s="3">
        <v>0.15</v>
      </c>
      <c r="J469" s="2">
        <v>-4371.17</v>
      </c>
    </row>
    <row r="470" spans="1:10" x14ac:dyDescent="0.35">
      <c r="A470" t="s">
        <v>495</v>
      </c>
      <c r="B470" s="1">
        <v>45397</v>
      </c>
      <c r="C470" t="s">
        <v>11</v>
      </c>
      <c r="D470" t="s">
        <v>22</v>
      </c>
      <c r="E470" t="s">
        <v>23</v>
      </c>
      <c r="F470" t="s">
        <v>33</v>
      </c>
      <c r="G470" s="2">
        <v>94721</v>
      </c>
      <c r="H470">
        <v>1</v>
      </c>
      <c r="I470" s="3">
        <v>0</v>
      </c>
      <c r="J470" s="2">
        <v>20120.310000000001</v>
      </c>
    </row>
    <row r="471" spans="1:10" x14ac:dyDescent="0.35">
      <c r="A471" t="s">
        <v>496</v>
      </c>
      <c r="B471" s="1">
        <v>45605</v>
      </c>
      <c r="C471" t="s">
        <v>21</v>
      </c>
      <c r="D471" t="s">
        <v>22</v>
      </c>
      <c r="E471" t="s">
        <v>18</v>
      </c>
      <c r="F471" t="s">
        <v>40</v>
      </c>
      <c r="G471" s="2">
        <v>113768</v>
      </c>
      <c r="H471">
        <v>5</v>
      </c>
      <c r="I471" s="3">
        <v>0.1</v>
      </c>
      <c r="J471" s="2">
        <v>-3672.74</v>
      </c>
    </row>
    <row r="472" spans="1:10" x14ac:dyDescent="0.35">
      <c r="A472" t="s">
        <v>497</v>
      </c>
      <c r="B472" s="1">
        <v>45316</v>
      </c>
      <c r="C472" t="s">
        <v>21</v>
      </c>
      <c r="D472" t="s">
        <v>12</v>
      </c>
      <c r="E472" t="s">
        <v>23</v>
      </c>
      <c r="F472" t="s">
        <v>26</v>
      </c>
      <c r="G472" s="2">
        <v>36090</v>
      </c>
      <c r="H472">
        <v>5</v>
      </c>
      <c r="I472" s="3">
        <v>0.15</v>
      </c>
      <c r="J472" s="2">
        <v>-2593.2399999999998</v>
      </c>
    </row>
    <row r="473" spans="1:10" x14ac:dyDescent="0.35">
      <c r="A473" t="s">
        <v>498</v>
      </c>
      <c r="B473" s="1">
        <v>45324</v>
      </c>
      <c r="C473" t="s">
        <v>21</v>
      </c>
      <c r="D473" t="s">
        <v>28</v>
      </c>
      <c r="E473" t="s">
        <v>18</v>
      </c>
      <c r="F473" t="s">
        <v>24</v>
      </c>
      <c r="G473" s="2">
        <v>145683</v>
      </c>
      <c r="H473">
        <v>7</v>
      </c>
      <c r="I473" s="3">
        <v>0</v>
      </c>
      <c r="J473" s="2">
        <v>33284.67</v>
      </c>
    </row>
    <row r="474" spans="1:10" x14ac:dyDescent="0.35">
      <c r="A474" t="s">
        <v>499</v>
      </c>
      <c r="B474" s="1">
        <v>45588</v>
      </c>
      <c r="C474" t="s">
        <v>16</v>
      </c>
      <c r="D474" t="s">
        <v>17</v>
      </c>
      <c r="E474" t="s">
        <v>18</v>
      </c>
      <c r="F474" t="s">
        <v>31</v>
      </c>
      <c r="G474" s="2">
        <v>102636</v>
      </c>
      <c r="H474">
        <v>9</v>
      </c>
      <c r="I474" s="3">
        <v>0.05</v>
      </c>
      <c r="J474" s="2">
        <v>20077.72</v>
      </c>
    </row>
    <row r="475" spans="1:10" x14ac:dyDescent="0.35">
      <c r="A475" t="s">
        <v>500</v>
      </c>
      <c r="B475" s="1">
        <v>45452</v>
      </c>
      <c r="C475" t="s">
        <v>21</v>
      </c>
      <c r="D475" t="s">
        <v>22</v>
      </c>
      <c r="E475" t="s">
        <v>23</v>
      </c>
      <c r="F475" t="s">
        <v>33</v>
      </c>
      <c r="G475" s="2">
        <v>57768</v>
      </c>
      <c r="H475">
        <v>1</v>
      </c>
      <c r="I475" s="3">
        <v>0.15</v>
      </c>
      <c r="J475" s="2">
        <v>-3123.11</v>
      </c>
    </row>
    <row r="476" spans="1:10" x14ac:dyDescent="0.35">
      <c r="A476" t="s">
        <v>501</v>
      </c>
      <c r="B476" s="1">
        <v>45544</v>
      </c>
      <c r="C476" t="s">
        <v>11</v>
      </c>
      <c r="D476" t="s">
        <v>28</v>
      </c>
      <c r="E476" t="s">
        <v>23</v>
      </c>
      <c r="F476" t="s">
        <v>33</v>
      </c>
      <c r="G476" s="2">
        <v>7274</v>
      </c>
      <c r="H476">
        <v>5</v>
      </c>
      <c r="I476" s="3">
        <v>0.05</v>
      </c>
      <c r="J476" s="2">
        <v>1302.78</v>
      </c>
    </row>
    <row r="477" spans="1:10" x14ac:dyDescent="0.35">
      <c r="A477" t="s">
        <v>502</v>
      </c>
      <c r="B477" s="1">
        <v>45469</v>
      </c>
      <c r="C477" t="s">
        <v>21</v>
      </c>
      <c r="D477" t="s">
        <v>22</v>
      </c>
      <c r="E477" t="s">
        <v>18</v>
      </c>
      <c r="F477" t="s">
        <v>33</v>
      </c>
      <c r="G477" s="2">
        <v>23899</v>
      </c>
      <c r="H477">
        <v>7</v>
      </c>
      <c r="I477" s="3">
        <v>0.05</v>
      </c>
      <c r="J477" s="2">
        <v>3991.17</v>
      </c>
    </row>
    <row r="478" spans="1:10" x14ac:dyDescent="0.35">
      <c r="A478" t="s">
        <v>503</v>
      </c>
      <c r="B478" s="1">
        <v>45366</v>
      </c>
      <c r="C478" t="s">
        <v>11</v>
      </c>
      <c r="D478" t="s">
        <v>22</v>
      </c>
      <c r="E478" t="s">
        <v>23</v>
      </c>
      <c r="F478" t="s">
        <v>14</v>
      </c>
      <c r="G478" s="2">
        <v>109601</v>
      </c>
      <c r="H478">
        <v>4</v>
      </c>
      <c r="I478" s="3">
        <v>0.1</v>
      </c>
      <c r="J478" s="2">
        <v>13289.6</v>
      </c>
    </row>
    <row r="479" spans="1:10" x14ac:dyDescent="0.35">
      <c r="A479" t="s">
        <v>504</v>
      </c>
      <c r="B479" s="1">
        <v>45390</v>
      </c>
      <c r="C479" t="s">
        <v>16</v>
      </c>
      <c r="D479" t="s">
        <v>17</v>
      </c>
      <c r="E479" t="s">
        <v>23</v>
      </c>
      <c r="F479" t="s">
        <v>14</v>
      </c>
      <c r="G479" s="2">
        <v>133503</v>
      </c>
      <c r="H479">
        <v>9</v>
      </c>
      <c r="I479" s="3">
        <v>0</v>
      </c>
      <c r="J479" s="2">
        <v>12988.31</v>
      </c>
    </row>
    <row r="480" spans="1:10" x14ac:dyDescent="0.35">
      <c r="A480" t="s">
        <v>505</v>
      </c>
      <c r="B480" s="1">
        <v>45449</v>
      </c>
      <c r="C480" t="s">
        <v>21</v>
      </c>
      <c r="D480" t="s">
        <v>22</v>
      </c>
      <c r="E480" t="s">
        <v>13</v>
      </c>
      <c r="F480" t="s">
        <v>40</v>
      </c>
      <c r="G480" s="2">
        <v>102458</v>
      </c>
      <c r="H480">
        <v>7</v>
      </c>
      <c r="I480" s="3">
        <v>0.1</v>
      </c>
      <c r="J480" s="2">
        <v>5093.2299999999996</v>
      </c>
    </row>
    <row r="481" spans="1:10" x14ac:dyDescent="0.35">
      <c r="A481" t="s">
        <v>506</v>
      </c>
      <c r="B481" s="1">
        <v>45464</v>
      </c>
      <c r="C481" t="s">
        <v>21</v>
      </c>
      <c r="D481" t="s">
        <v>17</v>
      </c>
      <c r="E481" t="s">
        <v>18</v>
      </c>
      <c r="F481" t="s">
        <v>31</v>
      </c>
      <c r="G481" s="2">
        <v>119258</v>
      </c>
      <c r="H481">
        <v>10</v>
      </c>
      <c r="I481" s="3">
        <v>0</v>
      </c>
      <c r="J481" s="2">
        <v>24461.33</v>
      </c>
    </row>
    <row r="482" spans="1:10" x14ac:dyDescent="0.35">
      <c r="A482" t="s">
        <v>507</v>
      </c>
      <c r="B482" s="1">
        <v>45490</v>
      </c>
      <c r="C482" t="s">
        <v>11</v>
      </c>
      <c r="D482" t="s">
        <v>22</v>
      </c>
      <c r="E482" t="s">
        <v>13</v>
      </c>
      <c r="F482" t="s">
        <v>31</v>
      </c>
      <c r="G482" s="2">
        <v>85581</v>
      </c>
      <c r="H482">
        <v>1</v>
      </c>
      <c r="I482" s="3">
        <v>0.1</v>
      </c>
      <c r="J482" s="2">
        <v>10960.45</v>
      </c>
    </row>
    <row r="483" spans="1:10" x14ac:dyDescent="0.35">
      <c r="A483" t="s">
        <v>508</v>
      </c>
      <c r="B483" s="1">
        <v>45336</v>
      </c>
      <c r="C483" t="s">
        <v>16</v>
      </c>
      <c r="D483" t="s">
        <v>17</v>
      </c>
      <c r="E483" t="s">
        <v>18</v>
      </c>
      <c r="F483" t="s">
        <v>33</v>
      </c>
      <c r="G483" s="2">
        <v>5590</v>
      </c>
      <c r="H483">
        <v>4</v>
      </c>
      <c r="I483" s="3">
        <v>0</v>
      </c>
      <c r="J483" s="2">
        <v>716.64</v>
      </c>
    </row>
    <row r="484" spans="1:10" x14ac:dyDescent="0.35">
      <c r="A484" t="s">
        <v>509</v>
      </c>
      <c r="B484" s="1">
        <v>45446</v>
      </c>
      <c r="C484" t="s">
        <v>16</v>
      </c>
      <c r="D484" t="s">
        <v>12</v>
      </c>
      <c r="E484" t="s">
        <v>18</v>
      </c>
      <c r="F484" t="s">
        <v>24</v>
      </c>
      <c r="G484" s="2">
        <v>97968</v>
      </c>
      <c r="H484">
        <v>2</v>
      </c>
      <c r="I484" s="3">
        <v>0.05</v>
      </c>
      <c r="J484" s="2">
        <v>8900.76</v>
      </c>
    </row>
    <row r="485" spans="1:10" x14ac:dyDescent="0.35">
      <c r="A485" t="s">
        <v>510</v>
      </c>
      <c r="B485" s="1">
        <v>45491</v>
      </c>
      <c r="C485" t="s">
        <v>16</v>
      </c>
      <c r="D485" t="s">
        <v>28</v>
      </c>
      <c r="E485" t="s">
        <v>18</v>
      </c>
      <c r="F485" t="s">
        <v>26</v>
      </c>
      <c r="G485" s="2">
        <v>143046</v>
      </c>
      <c r="H485">
        <v>6</v>
      </c>
      <c r="I485" s="3">
        <v>0.05</v>
      </c>
      <c r="J485" s="2">
        <v>6192.82</v>
      </c>
    </row>
    <row r="486" spans="1:10" x14ac:dyDescent="0.35">
      <c r="A486" t="s">
        <v>511</v>
      </c>
      <c r="B486" s="1">
        <v>45394</v>
      </c>
      <c r="C486" t="s">
        <v>16</v>
      </c>
      <c r="D486" t="s">
        <v>17</v>
      </c>
      <c r="E486" t="s">
        <v>13</v>
      </c>
      <c r="F486" t="s">
        <v>19</v>
      </c>
      <c r="G486" s="2">
        <v>134103</v>
      </c>
      <c r="H486">
        <v>5</v>
      </c>
      <c r="I486" s="3">
        <v>0</v>
      </c>
      <c r="J486" s="2">
        <v>26023.919999999998</v>
      </c>
    </row>
    <row r="487" spans="1:10" x14ac:dyDescent="0.35">
      <c r="A487" t="s">
        <v>512</v>
      </c>
      <c r="B487" s="1">
        <v>45404</v>
      </c>
      <c r="C487" t="s">
        <v>16</v>
      </c>
      <c r="D487" t="s">
        <v>12</v>
      </c>
      <c r="E487" t="s">
        <v>18</v>
      </c>
      <c r="F487" t="s">
        <v>19</v>
      </c>
      <c r="G487" s="2">
        <v>30158</v>
      </c>
      <c r="H487">
        <v>9</v>
      </c>
      <c r="I487" s="3">
        <v>0.1</v>
      </c>
      <c r="J487" s="2">
        <v>-1426.62</v>
      </c>
    </row>
    <row r="488" spans="1:10" x14ac:dyDescent="0.35">
      <c r="A488" t="s">
        <v>513</v>
      </c>
      <c r="B488" s="1">
        <v>45549</v>
      </c>
      <c r="C488" t="s">
        <v>21</v>
      </c>
      <c r="D488" t="s">
        <v>12</v>
      </c>
      <c r="E488" t="s">
        <v>18</v>
      </c>
      <c r="F488" t="s">
        <v>33</v>
      </c>
      <c r="G488" s="2">
        <v>14942</v>
      </c>
      <c r="H488">
        <v>2</v>
      </c>
      <c r="I488" s="3">
        <v>0.1</v>
      </c>
      <c r="J488" s="2">
        <v>181.54</v>
      </c>
    </row>
    <row r="489" spans="1:10" x14ac:dyDescent="0.35">
      <c r="A489" t="s">
        <v>514</v>
      </c>
      <c r="B489" s="1">
        <v>45392</v>
      </c>
      <c r="C489" t="s">
        <v>11</v>
      </c>
      <c r="D489" t="s">
        <v>28</v>
      </c>
      <c r="E489" t="s">
        <v>13</v>
      </c>
      <c r="F489" t="s">
        <v>26</v>
      </c>
      <c r="G489" s="2">
        <v>40467</v>
      </c>
      <c r="H489">
        <v>8</v>
      </c>
      <c r="I489" s="3">
        <v>0.05</v>
      </c>
      <c r="J489" s="2">
        <v>3673.91</v>
      </c>
    </row>
    <row r="490" spans="1:10" x14ac:dyDescent="0.35">
      <c r="A490" t="s">
        <v>515</v>
      </c>
      <c r="B490" s="1">
        <v>45458</v>
      </c>
      <c r="C490" t="s">
        <v>16</v>
      </c>
      <c r="D490" t="s">
        <v>17</v>
      </c>
      <c r="E490" t="s">
        <v>18</v>
      </c>
      <c r="F490" t="s">
        <v>40</v>
      </c>
      <c r="G490" s="2">
        <v>134360</v>
      </c>
      <c r="H490">
        <v>5</v>
      </c>
      <c r="I490" s="3">
        <v>0</v>
      </c>
      <c r="J490" s="2">
        <v>26865.32</v>
      </c>
    </row>
    <row r="491" spans="1:10" x14ac:dyDescent="0.35">
      <c r="A491" t="s">
        <v>516</v>
      </c>
      <c r="B491" s="1">
        <v>45426</v>
      </c>
      <c r="C491" t="s">
        <v>11</v>
      </c>
      <c r="D491" t="s">
        <v>22</v>
      </c>
      <c r="E491" t="s">
        <v>18</v>
      </c>
      <c r="F491" t="s">
        <v>31</v>
      </c>
      <c r="G491" s="2">
        <v>109244</v>
      </c>
      <c r="H491">
        <v>4</v>
      </c>
      <c r="I491" s="3">
        <v>0</v>
      </c>
      <c r="J491" s="2">
        <v>13325.78</v>
      </c>
    </row>
    <row r="492" spans="1:10" x14ac:dyDescent="0.35">
      <c r="A492" t="s">
        <v>517</v>
      </c>
      <c r="B492" s="1">
        <v>45450</v>
      </c>
      <c r="C492" t="s">
        <v>16</v>
      </c>
      <c r="D492" t="s">
        <v>17</v>
      </c>
      <c r="E492" t="s">
        <v>23</v>
      </c>
      <c r="F492" t="s">
        <v>26</v>
      </c>
      <c r="G492" s="2">
        <v>126366</v>
      </c>
      <c r="H492">
        <v>9</v>
      </c>
      <c r="I492" s="3">
        <v>0</v>
      </c>
      <c r="J492" s="2">
        <v>30500.06</v>
      </c>
    </row>
    <row r="493" spans="1:10" x14ac:dyDescent="0.35">
      <c r="A493" t="s">
        <v>518</v>
      </c>
      <c r="B493" s="1">
        <v>45527</v>
      </c>
      <c r="C493" t="s">
        <v>11</v>
      </c>
      <c r="D493" t="s">
        <v>12</v>
      </c>
      <c r="E493" t="s">
        <v>18</v>
      </c>
      <c r="F493" t="s">
        <v>40</v>
      </c>
      <c r="G493" s="2">
        <v>91317</v>
      </c>
      <c r="H493">
        <v>5</v>
      </c>
      <c r="I493" s="3">
        <v>0.15</v>
      </c>
      <c r="J493" s="2">
        <v>-8829.7900000000009</v>
      </c>
    </row>
    <row r="494" spans="1:10" x14ac:dyDescent="0.35">
      <c r="A494" t="s">
        <v>519</v>
      </c>
      <c r="B494" s="1">
        <v>45308</v>
      </c>
      <c r="C494" t="s">
        <v>21</v>
      </c>
      <c r="D494" t="s">
        <v>12</v>
      </c>
      <c r="E494" t="s">
        <v>18</v>
      </c>
      <c r="F494" t="s">
        <v>26</v>
      </c>
      <c r="G494" s="2">
        <v>63184</v>
      </c>
      <c r="H494">
        <v>5</v>
      </c>
      <c r="I494" s="3">
        <v>0.1</v>
      </c>
      <c r="J494" s="2">
        <v>2446.75</v>
      </c>
    </row>
    <row r="495" spans="1:10" x14ac:dyDescent="0.35">
      <c r="A495" t="s">
        <v>520</v>
      </c>
      <c r="B495" s="1">
        <v>45416</v>
      </c>
      <c r="C495" t="s">
        <v>16</v>
      </c>
      <c r="D495" t="s">
        <v>28</v>
      </c>
      <c r="E495" t="s">
        <v>13</v>
      </c>
      <c r="F495" t="s">
        <v>33</v>
      </c>
      <c r="G495" s="2">
        <v>27635</v>
      </c>
      <c r="H495">
        <v>10</v>
      </c>
      <c r="I495" s="3">
        <v>0.15</v>
      </c>
      <c r="J495" s="2">
        <v>1971.01</v>
      </c>
    </row>
    <row r="496" spans="1:10" x14ac:dyDescent="0.35">
      <c r="A496" t="s">
        <v>521</v>
      </c>
      <c r="B496" s="1">
        <v>45454</v>
      </c>
      <c r="C496" t="s">
        <v>11</v>
      </c>
      <c r="D496" t="s">
        <v>22</v>
      </c>
      <c r="E496" t="s">
        <v>23</v>
      </c>
      <c r="F496" t="s">
        <v>24</v>
      </c>
      <c r="G496" s="2">
        <v>113012</v>
      </c>
      <c r="H496">
        <v>6</v>
      </c>
      <c r="I496" s="3">
        <v>0.05</v>
      </c>
      <c r="J496" s="2">
        <v>980.38</v>
      </c>
    </row>
    <row r="497" spans="1:10" x14ac:dyDescent="0.35">
      <c r="A497" t="s">
        <v>522</v>
      </c>
      <c r="B497" s="1">
        <v>45425</v>
      </c>
      <c r="C497" t="s">
        <v>21</v>
      </c>
      <c r="D497" t="s">
        <v>17</v>
      </c>
      <c r="E497" t="s">
        <v>13</v>
      </c>
      <c r="F497" t="s">
        <v>40</v>
      </c>
      <c r="G497" s="2">
        <v>25215</v>
      </c>
      <c r="H497">
        <v>9</v>
      </c>
      <c r="I497" s="3">
        <v>0</v>
      </c>
      <c r="J497" s="2">
        <v>1836.87</v>
      </c>
    </row>
    <row r="498" spans="1:10" x14ac:dyDescent="0.35">
      <c r="A498" t="s">
        <v>523</v>
      </c>
      <c r="B498" s="1">
        <v>45465</v>
      </c>
      <c r="C498" t="s">
        <v>11</v>
      </c>
      <c r="D498" t="s">
        <v>22</v>
      </c>
      <c r="E498" t="s">
        <v>18</v>
      </c>
      <c r="F498" t="s">
        <v>40</v>
      </c>
      <c r="G498" s="2">
        <v>10355</v>
      </c>
      <c r="H498">
        <v>6</v>
      </c>
      <c r="I498" s="3">
        <v>0</v>
      </c>
      <c r="J498" s="2">
        <v>2327.46</v>
      </c>
    </row>
    <row r="499" spans="1:10" x14ac:dyDescent="0.35">
      <c r="A499" t="s">
        <v>524</v>
      </c>
      <c r="B499" s="1">
        <v>45305</v>
      </c>
      <c r="C499" t="s">
        <v>21</v>
      </c>
      <c r="D499" t="s">
        <v>28</v>
      </c>
      <c r="E499" t="s">
        <v>23</v>
      </c>
      <c r="F499" t="s">
        <v>33</v>
      </c>
      <c r="G499" s="2">
        <v>82409</v>
      </c>
      <c r="H499">
        <v>5</v>
      </c>
      <c r="I499" s="3">
        <v>0.15</v>
      </c>
      <c r="J499" s="2">
        <v>-2536.29</v>
      </c>
    </row>
    <row r="500" spans="1:10" x14ac:dyDescent="0.35">
      <c r="A500" t="s">
        <v>525</v>
      </c>
      <c r="B500" s="1">
        <v>45429</v>
      </c>
      <c r="C500" t="s">
        <v>11</v>
      </c>
      <c r="D500" t="s">
        <v>22</v>
      </c>
      <c r="E500" t="s">
        <v>18</v>
      </c>
      <c r="F500" t="s">
        <v>31</v>
      </c>
      <c r="G500" s="2">
        <v>7638</v>
      </c>
      <c r="H500">
        <v>3</v>
      </c>
      <c r="I500" s="3">
        <v>0.05</v>
      </c>
      <c r="J500" s="2">
        <v>1156.6099999999999</v>
      </c>
    </row>
    <row r="501" spans="1:10" x14ac:dyDescent="0.35">
      <c r="A501" t="s">
        <v>526</v>
      </c>
      <c r="B501" s="1">
        <v>45354</v>
      </c>
      <c r="C501" t="s">
        <v>11</v>
      </c>
      <c r="D501" t="s">
        <v>22</v>
      </c>
      <c r="E501" t="s">
        <v>13</v>
      </c>
      <c r="F501" t="s">
        <v>31</v>
      </c>
      <c r="G501" s="2">
        <v>19650</v>
      </c>
      <c r="H501">
        <v>10</v>
      </c>
      <c r="I501" s="3">
        <v>0.05</v>
      </c>
      <c r="J501" s="2">
        <v>34.380000000000003</v>
      </c>
    </row>
    <row r="502" spans="1:10" x14ac:dyDescent="0.35">
      <c r="A502" t="s">
        <v>527</v>
      </c>
      <c r="B502" s="1">
        <v>45324</v>
      </c>
      <c r="C502" t="s">
        <v>21</v>
      </c>
      <c r="D502" t="s">
        <v>17</v>
      </c>
      <c r="E502" t="s">
        <v>13</v>
      </c>
      <c r="F502" t="s">
        <v>31</v>
      </c>
      <c r="G502" s="2">
        <v>72207</v>
      </c>
      <c r="H502">
        <v>3</v>
      </c>
      <c r="I502" s="3">
        <v>0.1</v>
      </c>
      <c r="J502" s="2">
        <v>8634.7099999999991</v>
      </c>
    </row>
    <row r="503" spans="1:10" x14ac:dyDescent="0.35">
      <c r="A503" t="s">
        <v>528</v>
      </c>
      <c r="B503" s="1">
        <v>45561</v>
      </c>
      <c r="C503" t="s">
        <v>11</v>
      </c>
      <c r="D503" t="s">
        <v>12</v>
      </c>
      <c r="E503" t="s">
        <v>18</v>
      </c>
      <c r="F503" t="s">
        <v>24</v>
      </c>
      <c r="G503" s="2">
        <v>133675</v>
      </c>
      <c r="H503">
        <v>6</v>
      </c>
      <c r="I503" s="3">
        <v>0.05</v>
      </c>
      <c r="J503" s="2">
        <v>22330.5</v>
      </c>
    </row>
    <row r="504" spans="1:10" x14ac:dyDescent="0.35">
      <c r="A504" t="s">
        <v>529</v>
      </c>
      <c r="B504" s="1">
        <v>45446</v>
      </c>
      <c r="C504" t="s">
        <v>21</v>
      </c>
      <c r="D504" t="s">
        <v>22</v>
      </c>
      <c r="E504" t="s">
        <v>18</v>
      </c>
      <c r="F504" t="s">
        <v>19</v>
      </c>
      <c r="G504" s="2">
        <v>74821</v>
      </c>
      <c r="H504">
        <v>7</v>
      </c>
      <c r="I504" s="3">
        <v>0.05</v>
      </c>
      <c r="J504" s="2">
        <v>2392.4</v>
      </c>
    </row>
    <row r="505" spans="1:10" x14ac:dyDescent="0.35">
      <c r="A505" t="s">
        <v>530</v>
      </c>
      <c r="B505" s="1">
        <v>45299</v>
      </c>
      <c r="C505" t="s">
        <v>11</v>
      </c>
      <c r="D505" t="s">
        <v>28</v>
      </c>
      <c r="E505" t="s">
        <v>13</v>
      </c>
      <c r="F505" t="s">
        <v>40</v>
      </c>
      <c r="G505" s="2">
        <v>104997</v>
      </c>
      <c r="H505">
        <v>9</v>
      </c>
      <c r="I505" s="3">
        <v>0.05</v>
      </c>
      <c r="J505" s="2">
        <v>201.88</v>
      </c>
    </row>
    <row r="506" spans="1:10" x14ac:dyDescent="0.35">
      <c r="A506" t="s">
        <v>531</v>
      </c>
      <c r="B506" s="1">
        <v>45526</v>
      </c>
      <c r="C506" t="s">
        <v>11</v>
      </c>
      <c r="D506" t="s">
        <v>12</v>
      </c>
      <c r="E506" t="s">
        <v>23</v>
      </c>
      <c r="F506" t="s">
        <v>26</v>
      </c>
      <c r="G506" s="2">
        <v>36976</v>
      </c>
      <c r="H506">
        <v>2</v>
      </c>
      <c r="I506" s="3">
        <v>0.05</v>
      </c>
      <c r="J506" s="2">
        <v>2042.28</v>
      </c>
    </row>
    <row r="507" spans="1:10" x14ac:dyDescent="0.35">
      <c r="A507" t="s">
        <v>532</v>
      </c>
      <c r="B507" s="1">
        <v>45425</v>
      </c>
      <c r="C507" t="s">
        <v>21</v>
      </c>
      <c r="D507" t="s">
        <v>17</v>
      </c>
      <c r="E507" t="s">
        <v>23</v>
      </c>
      <c r="F507" t="s">
        <v>24</v>
      </c>
      <c r="G507" s="2">
        <v>107063</v>
      </c>
      <c r="H507">
        <v>4</v>
      </c>
      <c r="I507" s="3">
        <v>0.05</v>
      </c>
      <c r="J507" s="2">
        <v>14029.13</v>
      </c>
    </row>
    <row r="508" spans="1:10" x14ac:dyDescent="0.35">
      <c r="A508" t="s">
        <v>533</v>
      </c>
      <c r="B508" s="1">
        <v>45592</v>
      </c>
      <c r="C508" t="s">
        <v>11</v>
      </c>
      <c r="D508" t="s">
        <v>12</v>
      </c>
      <c r="E508" t="s">
        <v>13</v>
      </c>
      <c r="F508" t="s">
        <v>26</v>
      </c>
      <c r="G508" s="2">
        <v>95461</v>
      </c>
      <c r="H508">
        <v>4</v>
      </c>
      <c r="I508" s="3">
        <v>0.15</v>
      </c>
      <c r="J508" s="2">
        <v>-7559.43</v>
      </c>
    </row>
    <row r="509" spans="1:10" x14ac:dyDescent="0.35">
      <c r="A509" t="s">
        <v>534</v>
      </c>
      <c r="B509" s="1">
        <v>45512</v>
      </c>
      <c r="C509" t="s">
        <v>21</v>
      </c>
      <c r="D509" t="s">
        <v>28</v>
      </c>
      <c r="E509" t="s">
        <v>23</v>
      </c>
      <c r="F509" t="s">
        <v>24</v>
      </c>
      <c r="G509" s="2">
        <v>38910</v>
      </c>
      <c r="H509">
        <v>6</v>
      </c>
      <c r="I509" s="3">
        <v>0</v>
      </c>
      <c r="J509" s="2">
        <v>8901.69</v>
      </c>
    </row>
    <row r="510" spans="1:10" x14ac:dyDescent="0.35">
      <c r="A510" t="s">
        <v>535</v>
      </c>
      <c r="B510" s="1">
        <v>45492</v>
      </c>
      <c r="C510" t="s">
        <v>16</v>
      </c>
      <c r="D510" t="s">
        <v>12</v>
      </c>
      <c r="E510" t="s">
        <v>13</v>
      </c>
      <c r="F510" t="s">
        <v>31</v>
      </c>
      <c r="G510" s="2">
        <v>104215</v>
      </c>
      <c r="H510">
        <v>10</v>
      </c>
      <c r="I510" s="3">
        <v>0.15</v>
      </c>
      <c r="J510" s="2">
        <v>6610.67</v>
      </c>
    </row>
    <row r="511" spans="1:10" x14ac:dyDescent="0.35">
      <c r="A511" t="s">
        <v>536</v>
      </c>
      <c r="B511" s="1">
        <v>45456</v>
      </c>
      <c r="C511" t="s">
        <v>21</v>
      </c>
      <c r="D511" t="s">
        <v>22</v>
      </c>
      <c r="E511" t="s">
        <v>18</v>
      </c>
      <c r="F511" t="s">
        <v>26</v>
      </c>
      <c r="G511" s="2">
        <v>76531</v>
      </c>
      <c r="H511">
        <v>6</v>
      </c>
      <c r="I511" s="3">
        <v>0.15</v>
      </c>
      <c r="J511" s="2">
        <v>1111.78</v>
      </c>
    </row>
    <row r="512" spans="1:10" x14ac:dyDescent="0.35">
      <c r="A512" t="s">
        <v>537</v>
      </c>
      <c r="B512" s="1">
        <v>45394</v>
      </c>
      <c r="C512" t="s">
        <v>16</v>
      </c>
      <c r="D512" t="s">
        <v>22</v>
      </c>
      <c r="E512" t="s">
        <v>23</v>
      </c>
      <c r="F512" t="s">
        <v>31</v>
      </c>
      <c r="G512" s="2">
        <v>70939</v>
      </c>
      <c r="H512">
        <v>9</v>
      </c>
      <c r="I512" s="3">
        <v>0.15</v>
      </c>
      <c r="J512" s="2">
        <v>-3393.6</v>
      </c>
    </row>
    <row r="513" spans="1:10" x14ac:dyDescent="0.35">
      <c r="A513" t="s">
        <v>538</v>
      </c>
      <c r="B513" s="1">
        <v>45511</v>
      </c>
      <c r="C513" t="s">
        <v>16</v>
      </c>
      <c r="D513" t="s">
        <v>22</v>
      </c>
      <c r="E513" t="s">
        <v>18</v>
      </c>
      <c r="F513" t="s">
        <v>26</v>
      </c>
      <c r="G513" s="2">
        <v>124038</v>
      </c>
      <c r="H513">
        <v>7</v>
      </c>
      <c r="I513" s="3">
        <v>0.1</v>
      </c>
      <c r="J513" s="2">
        <v>-1548.95</v>
      </c>
    </row>
    <row r="514" spans="1:10" x14ac:dyDescent="0.35">
      <c r="A514" t="s">
        <v>539</v>
      </c>
      <c r="B514" s="1">
        <v>45637</v>
      </c>
      <c r="C514" t="s">
        <v>16</v>
      </c>
      <c r="D514" t="s">
        <v>22</v>
      </c>
      <c r="E514" t="s">
        <v>18</v>
      </c>
      <c r="F514" t="s">
        <v>14</v>
      </c>
      <c r="G514" s="2">
        <v>20028</v>
      </c>
      <c r="H514">
        <v>3</v>
      </c>
      <c r="I514" s="3">
        <v>0.05</v>
      </c>
      <c r="J514" s="2">
        <v>829</v>
      </c>
    </row>
    <row r="515" spans="1:10" x14ac:dyDescent="0.35">
      <c r="A515" t="s">
        <v>540</v>
      </c>
      <c r="B515" s="1">
        <v>45568</v>
      </c>
      <c r="C515" t="s">
        <v>16</v>
      </c>
      <c r="D515" t="s">
        <v>17</v>
      </c>
      <c r="E515" t="s">
        <v>13</v>
      </c>
      <c r="F515" t="s">
        <v>40</v>
      </c>
      <c r="G515" s="2">
        <v>133949</v>
      </c>
      <c r="H515">
        <v>3</v>
      </c>
      <c r="I515" s="3">
        <v>0.1</v>
      </c>
      <c r="J515" s="2">
        <v>19876.240000000002</v>
      </c>
    </row>
    <row r="516" spans="1:10" x14ac:dyDescent="0.35">
      <c r="A516" t="s">
        <v>541</v>
      </c>
      <c r="B516" s="1">
        <v>45637</v>
      </c>
      <c r="C516" t="s">
        <v>16</v>
      </c>
      <c r="D516" t="s">
        <v>22</v>
      </c>
      <c r="E516" t="s">
        <v>23</v>
      </c>
      <c r="F516" t="s">
        <v>26</v>
      </c>
      <c r="G516" s="2">
        <v>73658</v>
      </c>
      <c r="H516">
        <v>4</v>
      </c>
      <c r="I516" s="3">
        <v>0.1</v>
      </c>
      <c r="J516" s="2">
        <v>-52.49</v>
      </c>
    </row>
    <row r="517" spans="1:10" x14ac:dyDescent="0.35">
      <c r="A517" t="s">
        <v>542</v>
      </c>
      <c r="B517" s="1">
        <v>45450</v>
      </c>
      <c r="C517" t="s">
        <v>11</v>
      </c>
      <c r="D517" t="s">
        <v>22</v>
      </c>
      <c r="E517" t="s">
        <v>18</v>
      </c>
      <c r="F517" t="s">
        <v>19</v>
      </c>
      <c r="G517" s="2">
        <v>104816</v>
      </c>
      <c r="H517">
        <v>10</v>
      </c>
      <c r="I517" s="3">
        <v>0</v>
      </c>
      <c r="J517" s="2">
        <v>20424.349999999999</v>
      </c>
    </row>
    <row r="518" spans="1:10" x14ac:dyDescent="0.35">
      <c r="A518" t="s">
        <v>543</v>
      </c>
      <c r="B518" s="1">
        <v>45580</v>
      </c>
      <c r="C518" t="s">
        <v>16</v>
      </c>
      <c r="D518" t="s">
        <v>17</v>
      </c>
      <c r="E518" t="s">
        <v>13</v>
      </c>
      <c r="F518" t="s">
        <v>31</v>
      </c>
      <c r="G518" s="2">
        <v>19283</v>
      </c>
      <c r="H518">
        <v>4</v>
      </c>
      <c r="I518" s="3">
        <v>0</v>
      </c>
      <c r="J518" s="2">
        <v>3829.39</v>
      </c>
    </row>
    <row r="519" spans="1:10" x14ac:dyDescent="0.35">
      <c r="A519" t="s">
        <v>544</v>
      </c>
      <c r="B519" s="1">
        <v>45631</v>
      </c>
      <c r="C519" t="s">
        <v>21</v>
      </c>
      <c r="D519" t="s">
        <v>12</v>
      </c>
      <c r="E519" t="s">
        <v>13</v>
      </c>
      <c r="F519" t="s">
        <v>24</v>
      </c>
      <c r="G519" s="2">
        <v>89057</v>
      </c>
      <c r="H519">
        <v>4</v>
      </c>
      <c r="I519" s="3">
        <v>0.1</v>
      </c>
      <c r="J519" s="2">
        <v>-2635.16</v>
      </c>
    </row>
    <row r="520" spans="1:10" x14ac:dyDescent="0.35">
      <c r="A520" t="s">
        <v>545</v>
      </c>
      <c r="B520" s="1">
        <v>45427</v>
      </c>
      <c r="C520" t="s">
        <v>16</v>
      </c>
      <c r="D520" t="s">
        <v>28</v>
      </c>
      <c r="E520" t="s">
        <v>13</v>
      </c>
      <c r="F520" t="s">
        <v>19</v>
      </c>
      <c r="G520" s="2">
        <v>128565</v>
      </c>
      <c r="H520">
        <v>6</v>
      </c>
      <c r="I520" s="3">
        <v>0.05</v>
      </c>
      <c r="J520" s="2">
        <v>20984.36</v>
      </c>
    </row>
    <row r="521" spans="1:10" x14ac:dyDescent="0.35">
      <c r="A521" t="s">
        <v>546</v>
      </c>
      <c r="B521" s="1">
        <v>45449</v>
      </c>
      <c r="C521" t="s">
        <v>16</v>
      </c>
      <c r="D521" t="s">
        <v>17</v>
      </c>
      <c r="E521" t="s">
        <v>18</v>
      </c>
      <c r="F521" t="s">
        <v>24</v>
      </c>
      <c r="G521" s="2">
        <v>46317</v>
      </c>
      <c r="H521">
        <v>6</v>
      </c>
      <c r="I521" s="3">
        <v>0.1</v>
      </c>
      <c r="J521" s="2">
        <v>5179.04</v>
      </c>
    </row>
    <row r="522" spans="1:10" x14ac:dyDescent="0.35">
      <c r="A522" t="s">
        <v>547</v>
      </c>
      <c r="B522" s="1">
        <v>45574</v>
      </c>
      <c r="C522" t="s">
        <v>16</v>
      </c>
      <c r="D522" t="s">
        <v>22</v>
      </c>
      <c r="E522" t="s">
        <v>23</v>
      </c>
      <c r="F522" t="s">
        <v>14</v>
      </c>
      <c r="G522" s="2">
        <v>127002</v>
      </c>
      <c r="H522">
        <v>1</v>
      </c>
      <c r="I522" s="3">
        <v>0.05</v>
      </c>
      <c r="J522" s="2">
        <v>396.88</v>
      </c>
    </row>
    <row r="523" spans="1:10" x14ac:dyDescent="0.35">
      <c r="A523" t="s">
        <v>548</v>
      </c>
      <c r="B523" s="1">
        <v>45323</v>
      </c>
      <c r="C523" t="s">
        <v>11</v>
      </c>
      <c r="D523" t="s">
        <v>17</v>
      </c>
      <c r="E523" t="s">
        <v>13</v>
      </c>
      <c r="F523" t="s">
        <v>19</v>
      </c>
      <c r="G523" s="2">
        <v>16442</v>
      </c>
      <c r="H523">
        <v>4</v>
      </c>
      <c r="I523" s="3">
        <v>0.1</v>
      </c>
      <c r="J523" s="2">
        <v>2180.7800000000002</v>
      </c>
    </row>
    <row r="524" spans="1:10" x14ac:dyDescent="0.35">
      <c r="A524" t="s">
        <v>549</v>
      </c>
      <c r="B524" s="1">
        <v>45354</v>
      </c>
      <c r="C524" t="s">
        <v>11</v>
      </c>
      <c r="D524" t="s">
        <v>22</v>
      </c>
      <c r="E524" t="s">
        <v>13</v>
      </c>
      <c r="F524" t="s">
        <v>19</v>
      </c>
      <c r="G524" s="2">
        <v>77861</v>
      </c>
      <c r="H524">
        <v>4</v>
      </c>
      <c r="I524" s="3">
        <v>0.15</v>
      </c>
      <c r="J524" s="2">
        <v>7353.18</v>
      </c>
    </row>
    <row r="525" spans="1:10" x14ac:dyDescent="0.35">
      <c r="A525" t="s">
        <v>550</v>
      </c>
      <c r="B525" s="1">
        <v>45447</v>
      </c>
      <c r="C525" t="s">
        <v>11</v>
      </c>
      <c r="D525" t="s">
        <v>22</v>
      </c>
      <c r="E525" t="s">
        <v>23</v>
      </c>
      <c r="F525" t="s">
        <v>19</v>
      </c>
      <c r="G525" s="2">
        <v>102579</v>
      </c>
      <c r="H525">
        <v>7</v>
      </c>
      <c r="I525" s="3">
        <v>0.05</v>
      </c>
      <c r="J525" s="2">
        <v>6799.69</v>
      </c>
    </row>
    <row r="526" spans="1:10" x14ac:dyDescent="0.35">
      <c r="A526" t="s">
        <v>551</v>
      </c>
      <c r="B526" s="1">
        <v>45586</v>
      </c>
      <c r="C526" t="s">
        <v>16</v>
      </c>
      <c r="D526" t="s">
        <v>28</v>
      </c>
      <c r="E526" t="s">
        <v>23</v>
      </c>
      <c r="F526" t="s">
        <v>40</v>
      </c>
      <c r="G526" s="2">
        <v>118348</v>
      </c>
      <c r="H526">
        <v>4</v>
      </c>
      <c r="I526" s="3">
        <v>0.05</v>
      </c>
      <c r="J526" s="2">
        <v>5961.63</v>
      </c>
    </row>
    <row r="527" spans="1:10" x14ac:dyDescent="0.35">
      <c r="A527" t="s">
        <v>552</v>
      </c>
      <c r="B527" s="1">
        <v>45366</v>
      </c>
      <c r="C527" t="s">
        <v>16</v>
      </c>
      <c r="D527" t="s">
        <v>22</v>
      </c>
      <c r="E527" t="s">
        <v>23</v>
      </c>
      <c r="F527" t="s">
        <v>14</v>
      </c>
      <c r="G527" s="2">
        <v>9369</v>
      </c>
      <c r="H527">
        <v>4</v>
      </c>
      <c r="I527" s="3">
        <v>0.05</v>
      </c>
      <c r="J527" s="2">
        <v>1772.04</v>
      </c>
    </row>
    <row r="528" spans="1:10" x14ac:dyDescent="0.35">
      <c r="A528" t="s">
        <v>553</v>
      </c>
      <c r="B528" s="1">
        <v>45314</v>
      </c>
      <c r="C528" t="s">
        <v>11</v>
      </c>
      <c r="D528" t="s">
        <v>22</v>
      </c>
      <c r="E528" t="s">
        <v>23</v>
      </c>
      <c r="F528" t="s">
        <v>26</v>
      </c>
      <c r="G528" s="2">
        <v>20638</v>
      </c>
      <c r="H528">
        <v>9</v>
      </c>
      <c r="I528" s="3">
        <v>0.15</v>
      </c>
      <c r="J528" s="2">
        <v>-1751.42</v>
      </c>
    </row>
    <row r="529" spans="1:10" x14ac:dyDescent="0.35">
      <c r="A529" t="s">
        <v>554</v>
      </c>
      <c r="B529" s="1">
        <v>45339</v>
      </c>
      <c r="C529" t="s">
        <v>21</v>
      </c>
      <c r="D529" t="s">
        <v>12</v>
      </c>
      <c r="E529" t="s">
        <v>18</v>
      </c>
      <c r="F529" t="s">
        <v>26</v>
      </c>
      <c r="G529" s="2">
        <v>44679</v>
      </c>
      <c r="H529">
        <v>4</v>
      </c>
      <c r="I529" s="3">
        <v>0.05</v>
      </c>
      <c r="J529" s="2">
        <v>2851.63</v>
      </c>
    </row>
    <row r="530" spans="1:10" x14ac:dyDescent="0.35">
      <c r="A530" t="s">
        <v>555</v>
      </c>
      <c r="B530" s="1">
        <v>45454</v>
      </c>
      <c r="C530" t="s">
        <v>11</v>
      </c>
      <c r="D530" t="s">
        <v>17</v>
      </c>
      <c r="E530" t="s">
        <v>13</v>
      </c>
      <c r="F530" t="s">
        <v>26</v>
      </c>
      <c r="G530" s="2">
        <v>118213</v>
      </c>
      <c r="H530">
        <v>5</v>
      </c>
      <c r="I530" s="3">
        <v>0</v>
      </c>
      <c r="J530" s="2">
        <v>10099.23</v>
      </c>
    </row>
    <row r="531" spans="1:10" x14ac:dyDescent="0.35">
      <c r="A531" t="s">
        <v>556</v>
      </c>
      <c r="B531" s="1">
        <v>45530</v>
      </c>
      <c r="C531" t="s">
        <v>16</v>
      </c>
      <c r="D531" t="s">
        <v>28</v>
      </c>
      <c r="E531" t="s">
        <v>18</v>
      </c>
      <c r="F531" t="s">
        <v>14</v>
      </c>
      <c r="G531" s="2">
        <v>90966</v>
      </c>
      <c r="H531">
        <v>7</v>
      </c>
      <c r="I531" s="3">
        <v>0</v>
      </c>
      <c r="J531" s="2">
        <v>11852.15</v>
      </c>
    </row>
    <row r="532" spans="1:10" x14ac:dyDescent="0.35">
      <c r="A532" t="s">
        <v>557</v>
      </c>
      <c r="B532" s="1">
        <v>45561</v>
      </c>
      <c r="C532" t="s">
        <v>21</v>
      </c>
      <c r="D532" t="s">
        <v>22</v>
      </c>
      <c r="E532" t="s">
        <v>13</v>
      </c>
      <c r="F532" t="s">
        <v>33</v>
      </c>
      <c r="G532" s="2">
        <v>10913</v>
      </c>
      <c r="H532">
        <v>6</v>
      </c>
      <c r="I532" s="3">
        <v>0</v>
      </c>
      <c r="J532" s="2">
        <v>2391.1</v>
      </c>
    </row>
    <row r="533" spans="1:10" x14ac:dyDescent="0.35">
      <c r="A533" t="s">
        <v>558</v>
      </c>
      <c r="B533" s="1">
        <v>45645</v>
      </c>
      <c r="C533" t="s">
        <v>16</v>
      </c>
      <c r="D533" t="s">
        <v>17</v>
      </c>
      <c r="E533" t="s">
        <v>23</v>
      </c>
      <c r="F533" t="s">
        <v>14</v>
      </c>
      <c r="G533" s="2">
        <v>37787</v>
      </c>
      <c r="H533">
        <v>4</v>
      </c>
      <c r="I533" s="3">
        <v>0</v>
      </c>
      <c r="J533" s="2">
        <v>4053.59</v>
      </c>
    </row>
    <row r="534" spans="1:10" x14ac:dyDescent="0.35">
      <c r="A534" t="s">
        <v>559</v>
      </c>
      <c r="B534" s="1">
        <v>45308</v>
      </c>
      <c r="C534" t="s">
        <v>16</v>
      </c>
      <c r="D534" t="s">
        <v>28</v>
      </c>
      <c r="E534" t="s">
        <v>13</v>
      </c>
      <c r="F534" t="s">
        <v>19</v>
      </c>
      <c r="G534" s="2">
        <v>134155</v>
      </c>
      <c r="H534">
        <v>1</v>
      </c>
      <c r="I534" s="3">
        <v>0.1</v>
      </c>
      <c r="J534" s="2">
        <v>15288.35</v>
      </c>
    </row>
    <row r="535" spans="1:10" x14ac:dyDescent="0.35">
      <c r="A535" t="s">
        <v>560</v>
      </c>
      <c r="B535" s="1">
        <v>45591</v>
      </c>
      <c r="C535" t="s">
        <v>21</v>
      </c>
      <c r="D535" t="s">
        <v>22</v>
      </c>
      <c r="E535" t="s">
        <v>13</v>
      </c>
      <c r="F535" t="s">
        <v>31</v>
      </c>
      <c r="G535" s="2">
        <v>67910</v>
      </c>
      <c r="H535">
        <v>7</v>
      </c>
      <c r="I535" s="3">
        <v>0.1</v>
      </c>
      <c r="J535" s="2">
        <v>8940.7800000000007</v>
      </c>
    </row>
    <row r="536" spans="1:10" x14ac:dyDescent="0.35">
      <c r="A536" t="s">
        <v>561</v>
      </c>
      <c r="B536" s="1">
        <v>45425</v>
      </c>
      <c r="C536" t="s">
        <v>11</v>
      </c>
      <c r="D536" t="s">
        <v>12</v>
      </c>
      <c r="E536" t="s">
        <v>13</v>
      </c>
      <c r="F536" t="s">
        <v>24</v>
      </c>
      <c r="G536" s="2">
        <v>82256</v>
      </c>
      <c r="H536">
        <v>3</v>
      </c>
      <c r="I536" s="3">
        <v>0</v>
      </c>
      <c r="J536" s="2">
        <v>5845.11</v>
      </c>
    </row>
    <row r="537" spans="1:10" x14ac:dyDescent="0.35">
      <c r="A537" t="s">
        <v>562</v>
      </c>
      <c r="B537" s="1">
        <v>45527</v>
      </c>
      <c r="C537" t="s">
        <v>21</v>
      </c>
      <c r="D537" t="s">
        <v>22</v>
      </c>
      <c r="E537" t="s">
        <v>18</v>
      </c>
      <c r="F537" t="s">
        <v>24</v>
      </c>
      <c r="G537" s="2">
        <v>142067</v>
      </c>
      <c r="H537">
        <v>6</v>
      </c>
      <c r="I537" s="3">
        <v>0</v>
      </c>
      <c r="J537" s="2">
        <v>20071.46</v>
      </c>
    </row>
    <row r="538" spans="1:10" x14ac:dyDescent="0.35">
      <c r="A538" t="s">
        <v>563</v>
      </c>
      <c r="B538" s="1">
        <v>45326</v>
      </c>
      <c r="C538" t="s">
        <v>21</v>
      </c>
      <c r="D538" t="s">
        <v>28</v>
      </c>
      <c r="E538" t="s">
        <v>23</v>
      </c>
      <c r="F538" t="s">
        <v>33</v>
      </c>
      <c r="G538" s="2">
        <v>108140</v>
      </c>
      <c r="H538">
        <v>9</v>
      </c>
      <c r="I538" s="3">
        <v>0.05</v>
      </c>
      <c r="J538" s="2">
        <v>20865.599999999999</v>
      </c>
    </row>
    <row r="539" spans="1:10" x14ac:dyDescent="0.35">
      <c r="A539" t="s">
        <v>564</v>
      </c>
      <c r="B539" s="1">
        <v>45537</v>
      </c>
      <c r="C539" t="s">
        <v>16</v>
      </c>
      <c r="D539" t="s">
        <v>12</v>
      </c>
      <c r="E539" t="s">
        <v>18</v>
      </c>
      <c r="F539" t="s">
        <v>19</v>
      </c>
      <c r="G539" s="2">
        <v>142373</v>
      </c>
      <c r="H539">
        <v>4</v>
      </c>
      <c r="I539" s="3">
        <v>0.15</v>
      </c>
      <c r="J539" s="2">
        <v>11915.12</v>
      </c>
    </row>
    <row r="540" spans="1:10" x14ac:dyDescent="0.35">
      <c r="A540" t="s">
        <v>565</v>
      </c>
      <c r="B540" s="1">
        <v>45480</v>
      </c>
      <c r="C540" t="s">
        <v>11</v>
      </c>
      <c r="D540" t="s">
        <v>12</v>
      </c>
      <c r="E540" t="s">
        <v>13</v>
      </c>
      <c r="F540" t="s">
        <v>19</v>
      </c>
      <c r="G540" s="2">
        <v>79035</v>
      </c>
      <c r="H540">
        <v>10</v>
      </c>
      <c r="I540" s="3">
        <v>0.05</v>
      </c>
      <c r="J540" s="2">
        <v>10515.32</v>
      </c>
    </row>
    <row r="541" spans="1:10" x14ac:dyDescent="0.35">
      <c r="A541" t="s">
        <v>566</v>
      </c>
      <c r="B541" s="1">
        <v>45590</v>
      </c>
      <c r="C541" t="s">
        <v>11</v>
      </c>
      <c r="D541" t="s">
        <v>17</v>
      </c>
      <c r="E541" t="s">
        <v>23</v>
      </c>
      <c r="F541" t="s">
        <v>14</v>
      </c>
      <c r="G541" s="2">
        <v>81084</v>
      </c>
      <c r="H541">
        <v>8</v>
      </c>
      <c r="I541" s="3">
        <v>0.05</v>
      </c>
      <c r="J541" s="2">
        <v>16025.08</v>
      </c>
    </row>
    <row r="542" spans="1:10" x14ac:dyDescent="0.35">
      <c r="A542" t="s">
        <v>567</v>
      </c>
      <c r="B542" s="1">
        <v>45449</v>
      </c>
      <c r="C542" t="s">
        <v>16</v>
      </c>
      <c r="D542" t="s">
        <v>28</v>
      </c>
      <c r="E542" t="s">
        <v>18</v>
      </c>
      <c r="F542" t="s">
        <v>31</v>
      </c>
      <c r="G542" s="2">
        <v>13530</v>
      </c>
      <c r="H542">
        <v>4</v>
      </c>
      <c r="I542" s="3">
        <v>0</v>
      </c>
      <c r="J542" s="2">
        <v>1764.58</v>
      </c>
    </row>
    <row r="543" spans="1:10" x14ac:dyDescent="0.35">
      <c r="A543" t="s">
        <v>568</v>
      </c>
      <c r="B543" s="1">
        <v>45302</v>
      </c>
      <c r="C543" t="s">
        <v>11</v>
      </c>
      <c r="D543" t="s">
        <v>12</v>
      </c>
      <c r="E543" t="s">
        <v>13</v>
      </c>
      <c r="F543" t="s">
        <v>19</v>
      </c>
      <c r="G543" s="2">
        <v>103751</v>
      </c>
      <c r="H543">
        <v>5</v>
      </c>
      <c r="I543" s="3">
        <v>0.15</v>
      </c>
      <c r="J543" s="2">
        <v>2326.84</v>
      </c>
    </row>
    <row r="544" spans="1:10" x14ac:dyDescent="0.35">
      <c r="A544" t="s">
        <v>569</v>
      </c>
      <c r="B544" s="1">
        <v>45326</v>
      </c>
      <c r="C544" t="s">
        <v>16</v>
      </c>
      <c r="D544" t="s">
        <v>17</v>
      </c>
      <c r="E544" t="s">
        <v>13</v>
      </c>
      <c r="F544" t="s">
        <v>40</v>
      </c>
      <c r="G544" s="2">
        <v>137038</v>
      </c>
      <c r="H544">
        <v>7</v>
      </c>
      <c r="I544" s="3">
        <v>0.1</v>
      </c>
      <c r="J544" s="2">
        <v>11782.82</v>
      </c>
    </row>
    <row r="545" spans="1:10" x14ac:dyDescent="0.35">
      <c r="A545" t="s">
        <v>570</v>
      </c>
      <c r="B545" s="1">
        <v>45585</v>
      </c>
      <c r="C545" t="s">
        <v>11</v>
      </c>
      <c r="D545" t="s">
        <v>17</v>
      </c>
      <c r="E545" t="s">
        <v>18</v>
      </c>
      <c r="F545" t="s">
        <v>40</v>
      </c>
      <c r="G545" s="2">
        <v>136940</v>
      </c>
      <c r="H545">
        <v>2</v>
      </c>
      <c r="I545" s="3">
        <v>0.05</v>
      </c>
      <c r="J545" s="2">
        <v>3023.56</v>
      </c>
    </row>
    <row r="546" spans="1:10" x14ac:dyDescent="0.35">
      <c r="A546" t="s">
        <v>571</v>
      </c>
      <c r="B546" s="1">
        <v>45340</v>
      </c>
      <c r="C546" t="s">
        <v>16</v>
      </c>
      <c r="D546" t="s">
        <v>17</v>
      </c>
      <c r="E546" t="s">
        <v>23</v>
      </c>
      <c r="F546" t="s">
        <v>40</v>
      </c>
      <c r="G546" s="2">
        <v>42162</v>
      </c>
      <c r="H546">
        <v>1</v>
      </c>
      <c r="I546" s="3">
        <v>0.15</v>
      </c>
      <c r="J546" s="2">
        <v>4171.57</v>
      </c>
    </row>
    <row r="547" spans="1:10" x14ac:dyDescent="0.35">
      <c r="A547" t="s">
        <v>572</v>
      </c>
      <c r="B547" s="1">
        <v>45292</v>
      </c>
      <c r="C547" t="s">
        <v>21</v>
      </c>
      <c r="D547" t="s">
        <v>28</v>
      </c>
      <c r="E547" t="s">
        <v>23</v>
      </c>
      <c r="F547" t="s">
        <v>31</v>
      </c>
      <c r="G547" s="2">
        <v>93071</v>
      </c>
      <c r="H547">
        <v>8</v>
      </c>
      <c r="I547" s="3">
        <v>0.1</v>
      </c>
      <c r="J547" s="2">
        <v>-4500.6000000000004</v>
      </c>
    </row>
    <row r="548" spans="1:10" x14ac:dyDescent="0.35">
      <c r="A548" t="s">
        <v>573</v>
      </c>
      <c r="B548" s="1">
        <v>45579</v>
      </c>
      <c r="C548" t="s">
        <v>21</v>
      </c>
      <c r="D548" t="s">
        <v>28</v>
      </c>
      <c r="E548" t="s">
        <v>13</v>
      </c>
      <c r="F548" t="s">
        <v>40</v>
      </c>
      <c r="G548" s="2">
        <v>42257</v>
      </c>
      <c r="H548">
        <v>1</v>
      </c>
      <c r="I548" s="3">
        <v>0.1</v>
      </c>
      <c r="J548" s="2">
        <v>6055.69</v>
      </c>
    </row>
    <row r="549" spans="1:10" x14ac:dyDescent="0.35">
      <c r="A549" t="s">
        <v>574</v>
      </c>
      <c r="B549" s="1">
        <v>45508</v>
      </c>
      <c r="C549" t="s">
        <v>11</v>
      </c>
      <c r="D549" t="s">
        <v>17</v>
      </c>
      <c r="E549" t="s">
        <v>13</v>
      </c>
      <c r="F549" t="s">
        <v>19</v>
      </c>
      <c r="G549" s="2">
        <v>26864</v>
      </c>
      <c r="H549">
        <v>8</v>
      </c>
      <c r="I549" s="3">
        <v>0</v>
      </c>
      <c r="J549" s="2">
        <v>2413.4299999999998</v>
      </c>
    </row>
    <row r="550" spans="1:10" x14ac:dyDescent="0.35">
      <c r="A550" t="s">
        <v>575</v>
      </c>
      <c r="B550" s="1">
        <v>45551</v>
      </c>
      <c r="C550" t="s">
        <v>21</v>
      </c>
      <c r="D550" t="s">
        <v>28</v>
      </c>
      <c r="E550" t="s">
        <v>23</v>
      </c>
      <c r="F550" t="s">
        <v>33</v>
      </c>
      <c r="G550" s="2">
        <v>128679</v>
      </c>
      <c r="H550">
        <v>2</v>
      </c>
      <c r="I550" s="3">
        <v>0.15</v>
      </c>
      <c r="J550" s="2">
        <v>-398.91</v>
      </c>
    </row>
    <row r="551" spans="1:10" x14ac:dyDescent="0.35">
      <c r="A551" t="s">
        <v>576</v>
      </c>
      <c r="B551" s="1">
        <v>45373</v>
      </c>
      <c r="C551" t="s">
        <v>11</v>
      </c>
      <c r="D551" t="s">
        <v>22</v>
      </c>
      <c r="E551" t="s">
        <v>18</v>
      </c>
      <c r="F551" t="s">
        <v>31</v>
      </c>
      <c r="G551" s="2">
        <v>47321</v>
      </c>
      <c r="H551">
        <v>4</v>
      </c>
      <c r="I551" s="3">
        <v>0.1</v>
      </c>
      <c r="J551" s="2">
        <v>1825.97</v>
      </c>
    </row>
    <row r="552" spans="1:10" x14ac:dyDescent="0.35">
      <c r="A552" t="s">
        <v>577</v>
      </c>
      <c r="B552" s="1">
        <v>45623</v>
      </c>
      <c r="C552" t="s">
        <v>11</v>
      </c>
      <c r="D552" t="s">
        <v>28</v>
      </c>
      <c r="E552" t="s">
        <v>18</v>
      </c>
      <c r="F552" t="s">
        <v>40</v>
      </c>
      <c r="G552" s="2">
        <v>118317</v>
      </c>
      <c r="H552">
        <v>6</v>
      </c>
      <c r="I552" s="3">
        <v>0.1</v>
      </c>
      <c r="J552" s="2">
        <v>15421.09</v>
      </c>
    </row>
    <row r="553" spans="1:10" x14ac:dyDescent="0.35">
      <c r="A553" t="s">
        <v>578</v>
      </c>
      <c r="B553" s="1">
        <v>45436</v>
      </c>
      <c r="C553" t="s">
        <v>21</v>
      </c>
      <c r="D553" t="s">
        <v>28</v>
      </c>
      <c r="E553" t="s">
        <v>18</v>
      </c>
      <c r="F553" t="s">
        <v>14</v>
      </c>
      <c r="G553" s="2">
        <v>104428</v>
      </c>
      <c r="H553">
        <v>4</v>
      </c>
      <c r="I553" s="3">
        <v>0</v>
      </c>
      <c r="J553" s="2">
        <v>8495.94</v>
      </c>
    </row>
    <row r="554" spans="1:10" x14ac:dyDescent="0.35">
      <c r="A554" t="s">
        <v>579</v>
      </c>
      <c r="B554" s="1">
        <v>45298</v>
      </c>
      <c r="C554" t="s">
        <v>11</v>
      </c>
      <c r="D554" t="s">
        <v>22</v>
      </c>
      <c r="E554" t="s">
        <v>23</v>
      </c>
      <c r="F554" t="s">
        <v>26</v>
      </c>
      <c r="G554" s="2">
        <v>61578</v>
      </c>
      <c r="H554">
        <v>2</v>
      </c>
      <c r="I554" s="3">
        <v>0</v>
      </c>
      <c r="J554" s="2">
        <v>12944.87</v>
      </c>
    </row>
    <row r="555" spans="1:10" x14ac:dyDescent="0.35">
      <c r="A555" t="s">
        <v>580</v>
      </c>
      <c r="B555" s="1">
        <v>45336</v>
      </c>
      <c r="C555" t="s">
        <v>16</v>
      </c>
      <c r="D555" t="s">
        <v>17</v>
      </c>
      <c r="E555" t="s">
        <v>18</v>
      </c>
      <c r="F555" t="s">
        <v>33</v>
      </c>
      <c r="G555" s="2">
        <v>40470</v>
      </c>
      <c r="H555">
        <v>4</v>
      </c>
      <c r="I555" s="3">
        <v>0.1</v>
      </c>
      <c r="J555" s="2">
        <v>5277.92</v>
      </c>
    </row>
    <row r="556" spans="1:10" x14ac:dyDescent="0.35">
      <c r="A556" t="s">
        <v>581</v>
      </c>
      <c r="B556" s="1">
        <v>45568</v>
      </c>
      <c r="C556" t="s">
        <v>11</v>
      </c>
      <c r="D556" t="s">
        <v>17</v>
      </c>
      <c r="E556" t="s">
        <v>13</v>
      </c>
      <c r="F556" t="s">
        <v>26</v>
      </c>
      <c r="G556" s="2">
        <v>97458</v>
      </c>
      <c r="H556">
        <v>8</v>
      </c>
      <c r="I556" s="3">
        <v>0.05</v>
      </c>
      <c r="J556" s="2">
        <v>1261.92</v>
      </c>
    </row>
    <row r="557" spans="1:10" x14ac:dyDescent="0.35">
      <c r="A557" t="s">
        <v>582</v>
      </c>
      <c r="B557" s="1">
        <v>45337</v>
      </c>
      <c r="C557" t="s">
        <v>16</v>
      </c>
      <c r="D557" t="s">
        <v>12</v>
      </c>
      <c r="E557" t="s">
        <v>13</v>
      </c>
      <c r="F557" t="s">
        <v>26</v>
      </c>
      <c r="G557" s="2">
        <v>95227</v>
      </c>
      <c r="H557">
        <v>10</v>
      </c>
      <c r="I557" s="3">
        <v>0</v>
      </c>
      <c r="J557" s="2">
        <v>14260.49</v>
      </c>
    </row>
    <row r="558" spans="1:10" x14ac:dyDescent="0.35">
      <c r="A558" t="s">
        <v>583</v>
      </c>
      <c r="B558" s="1">
        <v>45621</v>
      </c>
      <c r="C558" t="s">
        <v>16</v>
      </c>
      <c r="D558" t="s">
        <v>22</v>
      </c>
      <c r="E558" t="s">
        <v>18</v>
      </c>
      <c r="F558" t="s">
        <v>24</v>
      </c>
      <c r="G558" s="2">
        <v>69477</v>
      </c>
      <c r="H558">
        <v>9</v>
      </c>
      <c r="I558" s="3">
        <v>0.15</v>
      </c>
      <c r="J558" s="2">
        <v>-1124.24</v>
      </c>
    </row>
    <row r="559" spans="1:10" x14ac:dyDescent="0.35">
      <c r="A559" t="s">
        <v>584</v>
      </c>
      <c r="B559" s="1">
        <v>45598</v>
      </c>
      <c r="C559" t="s">
        <v>16</v>
      </c>
      <c r="D559" t="s">
        <v>12</v>
      </c>
      <c r="E559" t="s">
        <v>23</v>
      </c>
      <c r="F559" t="s">
        <v>40</v>
      </c>
      <c r="G559" s="2">
        <v>5888</v>
      </c>
      <c r="H559">
        <v>6</v>
      </c>
      <c r="I559" s="3">
        <v>0</v>
      </c>
      <c r="J559" s="2">
        <v>522.84</v>
      </c>
    </row>
    <row r="560" spans="1:10" x14ac:dyDescent="0.35">
      <c r="A560" t="s">
        <v>585</v>
      </c>
      <c r="B560" s="1">
        <v>45589</v>
      </c>
      <c r="C560" t="s">
        <v>11</v>
      </c>
      <c r="D560" t="s">
        <v>28</v>
      </c>
      <c r="E560" t="s">
        <v>13</v>
      </c>
      <c r="F560" t="s">
        <v>14</v>
      </c>
      <c r="G560" s="2">
        <v>141885</v>
      </c>
      <c r="H560">
        <v>9</v>
      </c>
      <c r="I560" s="3">
        <v>0</v>
      </c>
      <c r="J560" s="2">
        <v>33364.85</v>
      </c>
    </row>
    <row r="561" spans="1:10" x14ac:dyDescent="0.35">
      <c r="A561" t="s">
        <v>586</v>
      </c>
      <c r="B561" s="1">
        <v>45624</v>
      </c>
      <c r="C561" t="s">
        <v>11</v>
      </c>
      <c r="D561" t="s">
        <v>17</v>
      </c>
      <c r="E561" t="s">
        <v>18</v>
      </c>
      <c r="F561" t="s">
        <v>40</v>
      </c>
      <c r="G561" s="2">
        <v>44576</v>
      </c>
      <c r="H561">
        <v>10</v>
      </c>
      <c r="I561" s="3">
        <v>0.15</v>
      </c>
      <c r="J561" s="2">
        <v>-62.75</v>
      </c>
    </row>
    <row r="562" spans="1:10" x14ac:dyDescent="0.35">
      <c r="A562" t="s">
        <v>587</v>
      </c>
      <c r="B562" s="1">
        <v>45387</v>
      </c>
      <c r="C562" t="s">
        <v>11</v>
      </c>
      <c r="D562" t="s">
        <v>17</v>
      </c>
      <c r="E562" t="s">
        <v>13</v>
      </c>
      <c r="F562" t="s">
        <v>14</v>
      </c>
      <c r="G562" s="2">
        <v>10229</v>
      </c>
      <c r="H562">
        <v>6</v>
      </c>
      <c r="I562" s="3">
        <v>0.05</v>
      </c>
      <c r="J562" s="2">
        <v>1650.4</v>
      </c>
    </row>
    <row r="563" spans="1:10" x14ac:dyDescent="0.35">
      <c r="A563" t="s">
        <v>588</v>
      </c>
      <c r="B563" s="1">
        <v>45639</v>
      </c>
      <c r="C563" t="s">
        <v>21</v>
      </c>
      <c r="D563" t="s">
        <v>28</v>
      </c>
      <c r="E563" t="s">
        <v>13</v>
      </c>
      <c r="F563" t="s">
        <v>24</v>
      </c>
      <c r="G563" s="2">
        <v>92967</v>
      </c>
      <c r="H563">
        <v>7</v>
      </c>
      <c r="I563" s="3">
        <v>0</v>
      </c>
      <c r="J563" s="2">
        <v>6021.96</v>
      </c>
    </row>
    <row r="564" spans="1:10" x14ac:dyDescent="0.35">
      <c r="A564" t="s">
        <v>589</v>
      </c>
      <c r="B564" s="1">
        <v>45566</v>
      </c>
      <c r="C564" t="s">
        <v>11</v>
      </c>
      <c r="D564" t="s">
        <v>28</v>
      </c>
      <c r="E564" t="s">
        <v>23</v>
      </c>
      <c r="F564" t="s">
        <v>24</v>
      </c>
      <c r="G564" s="2">
        <v>110996</v>
      </c>
      <c r="H564">
        <v>9</v>
      </c>
      <c r="I564" s="3">
        <v>0</v>
      </c>
      <c r="J564" s="2">
        <v>23724.43</v>
      </c>
    </row>
    <row r="565" spans="1:10" x14ac:dyDescent="0.35">
      <c r="A565" t="s">
        <v>590</v>
      </c>
      <c r="B565" s="1">
        <v>45341</v>
      </c>
      <c r="C565" t="s">
        <v>21</v>
      </c>
      <c r="D565" t="s">
        <v>17</v>
      </c>
      <c r="E565" t="s">
        <v>23</v>
      </c>
      <c r="F565" t="s">
        <v>24</v>
      </c>
      <c r="G565" s="2">
        <v>8987</v>
      </c>
      <c r="H565">
        <v>8</v>
      </c>
      <c r="I565" s="3">
        <v>0</v>
      </c>
      <c r="J565" s="2">
        <v>1685.66</v>
      </c>
    </row>
    <row r="566" spans="1:10" x14ac:dyDescent="0.35">
      <c r="A566" t="s">
        <v>591</v>
      </c>
      <c r="B566" s="1">
        <v>45499</v>
      </c>
      <c r="C566" t="s">
        <v>21</v>
      </c>
      <c r="D566" t="s">
        <v>12</v>
      </c>
      <c r="E566" t="s">
        <v>18</v>
      </c>
      <c r="F566" t="s">
        <v>14</v>
      </c>
      <c r="G566" s="2">
        <v>104822</v>
      </c>
      <c r="H566">
        <v>2</v>
      </c>
      <c r="I566" s="3">
        <v>0.15</v>
      </c>
      <c r="J566" s="2">
        <v>-5203.6099999999997</v>
      </c>
    </row>
    <row r="567" spans="1:10" x14ac:dyDescent="0.35">
      <c r="A567" t="s">
        <v>592</v>
      </c>
      <c r="B567" s="1">
        <v>45646</v>
      </c>
      <c r="C567" t="s">
        <v>21</v>
      </c>
      <c r="D567" t="s">
        <v>12</v>
      </c>
      <c r="E567" t="s">
        <v>13</v>
      </c>
      <c r="F567" t="s">
        <v>14</v>
      </c>
      <c r="G567" s="2">
        <v>144621</v>
      </c>
      <c r="H567">
        <v>5</v>
      </c>
      <c r="I567" s="3">
        <v>0.1</v>
      </c>
      <c r="J567" s="2">
        <v>3255.1</v>
      </c>
    </row>
    <row r="568" spans="1:10" x14ac:dyDescent="0.35">
      <c r="A568" t="s">
        <v>593</v>
      </c>
      <c r="B568" s="1">
        <v>45571</v>
      </c>
      <c r="C568" t="s">
        <v>11</v>
      </c>
      <c r="D568" t="s">
        <v>17</v>
      </c>
      <c r="E568" t="s">
        <v>13</v>
      </c>
      <c r="F568" t="s">
        <v>40</v>
      </c>
      <c r="G568" s="2">
        <v>121539</v>
      </c>
      <c r="H568">
        <v>2</v>
      </c>
      <c r="I568" s="3">
        <v>0.1</v>
      </c>
      <c r="J568" s="2">
        <v>-2948.12</v>
      </c>
    </row>
    <row r="569" spans="1:10" x14ac:dyDescent="0.35">
      <c r="A569" t="s">
        <v>594</v>
      </c>
      <c r="B569" s="1">
        <v>45414</v>
      </c>
      <c r="C569" t="s">
        <v>21</v>
      </c>
      <c r="D569" t="s">
        <v>28</v>
      </c>
      <c r="E569" t="s">
        <v>13</v>
      </c>
      <c r="F569" t="s">
        <v>26</v>
      </c>
      <c r="G569" s="2">
        <v>54050</v>
      </c>
      <c r="H569">
        <v>6</v>
      </c>
      <c r="I569" s="3">
        <v>0</v>
      </c>
      <c r="J569" s="2">
        <v>12756.24</v>
      </c>
    </row>
    <row r="570" spans="1:10" x14ac:dyDescent="0.35">
      <c r="A570" t="s">
        <v>595</v>
      </c>
      <c r="B570" s="1">
        <v>45613</v>
      </c>
      <c r="C570" t="s">
        <v>21</v>
      </c>
      <c r="D570" t="s">
        <v>22</v>
      </c>
      <c r="E570" t="s">
        <v>13</v>
      </c>
      <c r="F570" t="s">
        <v>24</v>
      </c>
      <c r="G570" s="2">
        <v>79846</v>
      </c>
      <c r="H570">
        <v>10</v>
      </c>
      <c r="I570" s="3">
        <v>0.05</v>
      </c>
      <c r="J570" s="2">
        <v>786.33</v>
      </c>
    </row>
    <row r="571" spans="1:10" x14ac:dyDescent="0.35">
      <c r="A571" t="s">
        <v>596</v>
      </c>
      <c r="B571" s="1">
        <v>45485</v>
      </c>
      <c r="C571" t="s">
        <v>21</v>
      </c>
      <c r="D571" t="s">
        <v>28</v>
      </c>
      <c r="E571" t="s">
        <v>18</v>
      </c>
      <c r="F571" t="s">
        <v>19</v>
      </c>
      <c r="G571" s="2">
        <v>57121</v>
      </c>
      <c r="H571">
        <v>9</v>
      </c>
      <c r="I571" s="3">
        <v>0.05</v>
      </c>
      <c r="J571" s="2">
        <v>5092.1099999999997</v>
      </c>
    </row>
    <row r="572" spans="1:10" x14ac:dyDescent="0.35">
      <c r="A572" t="s">
        <v>597</v>
      </c>
      <c r="B572" s="1">
        <v>45605</v>
      </c>
      <c r="C572" t="s">
        <v>16</v>
      </c>
      <c r="D572" t="s">
        <v>22</v>
      </c>
      <c r="E572" t="s">
        <v>18</v>
      </c>
      <c r="F572" t="s">
        <v>40</v>
      </c>
      <c r="G572" s="2">
        <v>68400</v>
      </c>
      <c r="H572">
        <v>3</v>
      </c>
      <c r="I572" s="3">
        <v>0.1</v>
      </c>
      <c r="J572" s="2">
        <v>10053.549999999999</v>
      </c>
    </row>
    <row r="573" spans="1:10" x14ac:dyDescent="0.35">
      <c r="A573" t="s">
        <v>598</v>
      </c>
      <c r="B573" s="1">
        <v>45353</v>
      </c>
      <c r="C573" t="s">
        <v>11</v>
      </c>
      <c r="D573" t="s">
        <v>17</v>
      </c>
      <c r="E573" t="s">
        <v>13</v>
      </c>
      <c r="F573" t="s">
        <v>40</v>
      </c>
      <c r="G573" s="2">
        <v>145819</v>
      </c>
      <c r="H573">
        <v>5</v>
      </c>
      <c r="I573" s="3">
        <v>0</v>
      </c>
      <c r="J573" s="2">
        <v>16215.34</v>
      </c>
    </row>
    <row r="574" spans="1:10" x14ac:dyDescent="0.35">
      <c r="A574" t="s">
        <v>599</v>
      </c>
      <c r="B574" s="1">
        <v>45486</v>
      </c>
      <c r="C574" t="s">
        <v>21</v>
      </c>
      <c r="D574" t="s">
        <v>22</v>
      </c>
      <c r="E574" t="s">
        <v>23</v>
      </c>
      <c r="F574" t="s">
        <v>24</v>
      </c>
      <c r="G574" s="2">
        <v>29667</v>
      </c>
      <c r="H574">
        <v>1</v>
      </c>
      <c r="I574" s="3">
        <v>0.05</v>
      </c>
      <c r="J574" s="2">
        <v>3223.36</v>
      </c>
    </row>
    <row r="575" spans="1:10" x14ac:dyDescent="0.35">
      <c r="A575" t="s">
        <v>600</v>
      </c>
      <c r="B575" s="1">
        <v>45438</v>
      </c>
      <c r="C575" t="s">
        <v>16</v>
      </c>
      <c r="D575" t="s">
        <v>12</v>
      </c>
      <c r="E575" t="s">
        <v>23</v>
      </c>
      <c r="F575" t="s">
        <v>40</v>
      </c>
      <c r="G575" s="2">
        <v>116564</v>
      </c>
      <c r="H575">
        <v>8</v>
      </c>
      <c r="I575" s="3">
        <v>0.1</v>
      </c>
      <c r="J575" s="2">
        <v>-3785.19</v>
      </c>
    </row>
    <row r="576" spans="1:10" x14ac:dyDescent="0.35">
      <c r="A576" t="s">
        <v>601</v>
      </c>
      <c r="B576" s="1">
        <v>45383</v>
      </c>
      <c r="C576" t="s">
        <v>16</v>
      </c>
      <c r="D576" t="s">
        <v>22</v>
      </c>
      <c r="E576" t="s">
        <v>18</v>
      </c>
      <c r="F576" t="s">
        <v>33</v>
      </c>
      <c r="G576" s="2">
        <v>120989</v>
      </c>
      <c r="H576">
        <v>8</v>
      </c>
      <c r="I576" s="3">
        <v>0.1</v>
      </c>
      <c r="J576" s="2">
        <v>293.33</v>
      </c>
    </row>
    <row r="577" spans="1:10" x14ac:dyDescent="0.35">
      <c r="A577" t="s">
        <v>602</v>
      </c>
      <c r="B577" s="1">
        <v>45419</v>
      </c>
      <c r="C577" t="s">
        <v>21</v>
      </c>
      <c r="D577" t="s">
        <v>22</v>
      </c>
      <c r="E577" t="s">
        <v>23</v>
      </c>
      <c r="F577" t="s">
        <v>33</v>
      </c>
      <c r="G577" s="2">
        <v>43248</v>
      </c>
      <c r="H577">
        <v>7</v>
      </c>
      <c r="I577" s="3">
        <v>0.05</v>
      </c>
      <c r="J577" s="2">
        <v>4280.41</v>
      </c>
    </row>
    <row r="578" spans="1:10" x14ac:dyDescent="0.35">
      <c r="A578" t="s">
        <v>603</v>
      </c>
      <c r="B578" s="1">
        <v>45584</v>
      </c>
      <c r="C578" t="s">
        <v>16</v>
      </c>
      <c r="D578" t="s">
        <v>22</v>
      </c>
      <c r="E578" t="s">
        <v>18</v>
      </c>
      <c r="F578" t="s">
        <v>31</v>
      </c>
      <c r="G578" s="2">
        <v>81312</v>
      </c>
      <c r="H578">
        <v>8</v>
      </c>
      <c r="I578" s="3">
        <v>0</v>
      </c>
      <c r="J578" s="2">
        <v>10583.91</v>
      </c>
    </row>
    <row r="579" spans="1:10" x14ac:dyDescent="0.35">
      <c r="A579" t="s">
        <v>604</v>
      </c>
      <c r="B579" s="1">
        <v>45518</v>
      </c>
      <c r="C579" t="s">
        <v>16</v>
      </c>
      <c r="D579" t="s">
        <v>12</v>
      </c>
      <c r="E579" t="s">
        <v>13</v>
      </c>
      <c r="F579" t="s">
        <v>14</v>
      </c>
      <c r="G579" s="2">
        <v>60786</v>
      </c>
      <c r="H579">
        <v>1</v>
      </c>
      <c r="I579" s="3">
        <v>0.05</v>
      </c>
      <c r="J579" s="2">
        <v>1464.47</v>
      </c>
    </row>
    <row r="580" spans="1:10" x14ac:dyDescent="0.35">
      <c r="A580" t="s">
        <v>605</v>
      </c>
      <c r="B580" s="1">
        <v>45606</v>
      </c>
      <c r="C580" t="s">
        <v>21</v>
      </c>
      <c r="D580" t="s">
        <v>22</v>
      </c>
      <c r="E580" t="s">
        <v>18</v>
      </c>
      <c r="F580" t="s">
        <v>19</v>
      </c>
      <c r="G580" s="2">
        <v>64199</v>
      </c>
      <c r="H580">
        <v>1</v>
      </c>
      <c r="I580" s="3">
        <v>0.1</v>
      </c>
      <c r="J580" s="2">
        <v>8617.94</v>
      </c>
    </row>
    <row r="581" spans="1:10" x14ac:dyDescent="0.35">
      <c r="A581" t="s">
        <v>606</v>
      </c>
      <c r="B581" s="1">
        <v>45580</v>
      </c>
      <c r="C581" t="s">
        <v>16</v>
      </c>
      <c r="D581" t="s">
        <v>12</v>
      </c>
      <c r="E581" t="s">
        <v>23</v>
      </c>
      <c r="F581" t="s">
        <v>24</v>
      </c>
      <c r="G581" s="2">
        <v>98868</v>
      </c>
      <c r="H581">
        <v>1</v>
      </c>
      <c r="I581" s="3">
        <v>0.1</v>
      </c>
      <c r="J581" s="2">
        <v>7641.21</v>
      </c>
    </row>
    <row r="582" spans="1:10" x14ac:dyDescent="0.35">
      <c r="A582" t="s">
        <v>607</v>
      </c>
      <c r="B582" s="1">
        <v>45356</v>
      </c>
      <c r="C582" t="s">
        <v>16</v>
      </c>
      <c r="D582" t="s">
        <v>12</v>
      </c>
      <c r="E582" t="s">
        <v>13</v>
      </c>
      <c r="F582" t="s">
        <v>33</v>
      </c>
      <c r="G582" s="2">
        <v>38550</v>
      </c>
      <c r="H582">
        <v>10</v>
      </c>
      <c r="I582" s="3">
        <v>0</v>
      </c>
      <c r="J582" s="2">
        <v>3803.06</v>
      </c>
    </row>
    <row r="583" spans="1:10" x14ac:dyDescent="0.35">
      <c r="A583" t="s">
        <v>608</v>
      </c>
      <c r="B583" s="1">
        <v>45614</v>
      </c>
      <c r="C583" t="s">
        <v>11</v>
      </c>
      <c r="D583" t="s">
        <v>17</v>
      </c>
      <c r="E583" t="s">
        <v>13</v>
      </c>
      <c r="F583" t="s">
        <v>40</v>
      </c>
      <c r="G583" s="2">
        <v>86349</v>
      </c>
      <c r="H583">
        <v>6</v>
      </c>
      <c r="I583" s="3">
        <v>0.05</v>
      </c>
      <c r="J583" s="2">
        <v>7004.71</v>
      </c>
    </row>
    <row r="584" spans="1:10" x14ac:dyDescent="0.35">
      <c r="A584" t="s">
        <v>609</v>
      </c>
      <c r="B584" s="1">
        <v>45310</v>
      </c>
      <c r="C584" t="s">
        <v>21</v>
      </c>
      <c r="D584" t="s">
        <v>22</v>
      </c>
      <c r="E584" t="s">
        <v>18</v>
      </c>
      <c r="F584" t="s">
        <v>19</v>
      </c>
      <c r="G584" s="2">
        <v>144664</v>
      </c>
      <c r="H584">
        <v>7</v>
      </c>
      <c r="I584" s="3">
        <v>0</v>
      </c>
      <c r="J584" s="2">
        <v>25812.14</v>
      </c>
    </row>
    <row r="585" spans="1:10" x14ac:dyDescent="0.35">
      <c r="A585" t="s">
        <v>610</v>
      </c>
      <c r="B585" s="1">
        <v>45349</v>
      </c>
      <c r="C585" t="s">
        <v>11</v>
      </c>
      <c r="D585" t="s">
        <v>28</v>
      </c>
      <c r="E585" t="s">
        <v>23</v>
      </c>
      <c r="F585" t="s">
        <v>14</v>
      </c>
      <c r="G585" s="2">
        <v>43713</v>
      </c>
      <c r="H585">
        <v>6</v>
      </c>
      <c r="I585" s="3">
        <v>0</v>
      </c>
      <c r="J585" s="2">
        <v>4844.99</v>
      </c>
    </row>
    <row r="586" spans="1:10" x14ac:dyDescent="0.35">
      <c r="A586" t="s">
        <v>611</v>
      </c>
      <c r="B586" s="1">
        <v>45431</v>
      </c>
      <c r="C586" t="s">
        <v>21</v>
      </c>
      <c r="D586" t="s">
        <v>12</v>
      </c>
      <c r="E586" t="s">
        <v>18</v>
      </c>
      <c r="F586" t="s">
        <v>31</v>
      </c>
      <c r="G586" s="2">
        <v>114081</v>
      </c>
      <c r="H586">
        <v>10</v>
      </c>
      <c r="I586" s="3">
        <v>0.1</v>
      </c>
      <c r="J586" s="2">
        <v>8363.19</v>
      </c>
    </row>
    <row r="587" spans="1:10" x14ac:dyDescent="0.35">
      <c r="A587" t="s">
        <v>612</v>
      </c>
      <c r="B587" s="1">
        <v>45353</v>
      </c>
      <c r="C587" t="s">
        <v>11</v>
      </c>
      <c r="D587" t="s">
        <v>12</v>
      </c>
      <c r="E587" t="s">
        <v>23</v>
      </c>
      <c r="F587" t="s">
        <v>26</v>
      </c>
      <c r="G587" s="2">
        <v>75480</v>
      </c>
      <c r="H587">
        <v>4</v>
      </c>
      <c r="I587" s="3">
        <v>0.15</v>
      </c>
      <c r="J587" s="2">
        <v>-1767.04</v>
      </c>
    </row>
    <row r="588" spans="1:10" x14ac:dyDescent="0.35">
      <c r="A588" t="s">
        <v>613</v>
      </c>
      <c r="B588" s="1">
        <v>45632</v>
      </c>
      <c r="C588" t="s">
        <v>21</v>
      </c>
      <c r="D588" t="s">
        <v>12</v>
      </c>
      <c r="E588" t="s">
        <v>18</v>
      </c>
      <c r="F588" t="s">
        <v>24</v>
      </c>
      <c r="G588" s="2">
        <v>121990</v>
      </c>
      <c r="H588">
        <v>7</v>
      </c>
      <c r="I588" s="3">
        <v>0.05</v>
      </c>
      <c r="J588" s="2">
        <v>20486.5</v>
      </c>
    </row>
    <row r="589" spans="1:10" x14ac:dyDescent="0.35">
      <c r="A589" t="s">
        <v>614</v>
      </c>
      <c r="B589" s="1">
        <v>45542</v>
      </c>
      <c r="C589" t="s">
        <v>21</v>
      </c>
      <c r="D589" t="s">
        <v>22</v>
      </c>
      <c r="E589" t="s">
        <v>13</v>
      </c>
      <c r="F589" t="s">
        <v>26</v>
      </c>
      <c r="G589" s="2">
        <v>77582</v>
      </c>
      <c r="H589">
        <v>2</v>
      </c>
      <c r="I589" s="3">
        <v>0.05</v>
      </c>
      <c r="J589" s="2">
        <v>13231.02</v>
      </c>
    </row>
    <row r="590" spans="1:10" x14ac:dyDescent="0.35">
      <c r="A590" t="s">
        <v>615</v>
      </c>
      <c r="B590" s="1">
        <v>45363</v>
      </c>
      <c r="C590" t="s">
        <v>21</v>
      </c>
      <c r="D590" t="s">
        <v>22</v>
      </c>
      <c r="E590" t="s">
        <v>13</v>
      </c>
      <c r="F590" t="s">
        <v>14</v>
      </c>
      <c r="G590" s="2">
        <v>123698</v>
      </c>
      <c r="H590">
        <v>1</v>
      </c>
      <c r="I590" s="3">
        <v>0</v>
      </c>
      <c r="J590" s="2">
        <v>18156.150000000001</v>
      </c>
    </row>
    <row r="591" spans="1:10" x14ac:dyDescent="0.35">
      <c r="A591" t="s">
        <v>616</v>
      </c>
      <c r="B591" s="1">
        <v>45326</v>
      </c>
      <c r="C591" t="s">
        <v>16</v>
      </c>
      <c r="D591" t="s">
        <v>28</v>
      </c>
      <c r="E591" t="s">
        <v>13</v>
      </c>
      <c r="F591" t="s">
        <v>26</v>
      </c>
      <c r="G591" s="2">
        <v>88321</v>
      </c>
      <c r="H591">
        <v>9</v>
      </c>
      <c r="I591" s="3">
        <v>0</v>
      </c>
      <c r="J591" s="2">
        <v>15355.33</v>
      </c>
    </row>
    <row r="592" spans="1:10" x14ac:dyDescent="0.35">
      <c r="A592" t="s">
        <v>617</v>
      </c>
      <c r="B592" s="1">
        <v>45572</v>
      </c>
      <c r="C592" t="s">
        <v>11</v>
      </c>
      <c r="D592" t="s">
        <v>17</v>
      </c>
      <c r="E592" t="s">
        <v>13</v>
      </c>
      <c r="F592" t="s">
        <v>40</v>
      </c>
      <c r="G592" s="2">
        <v>99994</v>
      </c>
      <c r="H592">
        <v>9</v>
      </c>
      <c r="I592" s="3">
        <v>0.1</v>
      </c>
      <c r="J592" s="2">
        <v>9789.2099999999991</v>
      </c>
    </row>
    <row r="593" spans="1:10" x14ac:dyDescent="0.35">
      <c r="A593" t="s">
        <v>618</v>
      </c>
      <c r="B593" s="1">
        <v>45329</v>
      </c>
      <c r="C593" t="s">
        <v>21</v>
      </c>
      <c r="D593" t="s">
        <v>22</v>
      </c>
      <c r="E593" t="s">
        <v>18</v>
      </c>
      <c r="F593" t="s">
        <v>19</v>
      </c>
      <c r="G593" s="2">
        <v>119395</v>
      </c>
      <c r="H593">
        <v>8</v>
      </c>
      <c r="I593" s="3">
        <v>0.1</v>
      </c>
      <c r="J593" s="2">
        <v>883.64</v>
      </c>
    </row>
    <row r="594" spans="1:10" x14ac:dyDescent="0.35">
      <c r="A594" t="s">
        <v>619</v>
      </c>
      <c r="B594" s="1">
        <v>45394</v>
      </c>
      <c r="C594" t="s">
        <v>11</v>
      </c>
      <c r="D594" t="s">
        <v>28</v>
      </c>
      <c r="E594" t="s">
        <v>13</v>
      </c>
      <c r="F594" t="s">
        <v>14</v>
      </c>
      <c r="G594" s="2">
        <v>33805</v>
      </c>
      <c r="H594">
        <v>9</v>
      </c>
      <c r="I594" s="3">
        <v>0.05</v>
      </c>
      <c r="J594" s="2">
        <v>6235.2</v>
      </c>
    </row>
    <row r="595" spans="1:10" x14ac:dyDescent="0.35">
      <c r="A595" t="s">
        <v>620</v>
      </c>
      <c r="B595" s="1">
        <v>45368</v>
      </c>
      <c r="C595" t="s">
        <v>21</v>
      </c>
      <c r="D595" t="s">
        <v>22</v>
      </c>
      <c r="E595" t="s">
        <v>13</v>
      </c>
      <c r="F595" t="s">
        <v>40</v>
      </c>
      <c r="G595" s="2">
        <v>77027</v>
      </c>
      <c r="H595">
        <v>2</v>
      </c>
      <c r="I595" s="3">
        <v>0.05</v>
      </c>
      <c r="J595" s="2">
        <v>14130.12</v>
      </c>
    </row>
    <row r="596" spans="1:10" x14ac:dyDescent="0.35">
      <c r="A596" t="s">
        <v>621</v>
      </c>
      <c r="B596" s="1">
        <v>45532</v>
      </c>
      <c r="C596" t="s">
        <v>16</v>
      </c>
      <c r="D596" t="s">
        <v>22</v>
      </c>
      <c r="E596" t="s">
        <v>18</v>
      </c>
      <c r="F596" t="s">
        <v>26</v>
      </c>
      <c r="G596" s="2">
        <v>92317</v>
      </c>
      <c r="H596">
        <v>8</v>
      </c>
      <c r="I596" s="3">
        <v>0.15</v>
      </c>
      <c r="J596" s="2">
        <v>995.56</v>
      </c>
    </row>
    <row r="597" spans="1:10" x14ac:dyDescent="0.35">
      <c r="A597" t="s">
        <v>622</v>
      </c>
      <c r="B597" s="1">
        <v>45344</v>
      </c>
      <c r="C597" t="s">
        <v>16</v>
      </c>
      <c r="D597" t="s">
        <v>28</v>
      </c>
      <c r="E597" t="s">
        <v>18</v>
      </c>
      <c r="F597" t="s">
        <v>24</v>
      </c>
      <c r="G597" s="2">
        <v>54013</v>
      </c>
      <c r="H597">
        <v>7</v>
      </c>
      <c r="I597" s="3">
        <v>0.15</v>
      </c>
      <c r="J597" s="2">
        <v>-4061.38</v>
      </c>
    </row>
    <row r="598" spans="1:10" x14ac:dyDescent="0.35">
      <c r="A598" t="s">
        <v>623</v>
      </c>
      <c r="B598" s="1">
        <v>45409</v>
      </c>
      <c r="C598" t="s">
        <v>11</v>
      </c>
      <c r="D598" t="s">
        <v>28</v>
      </c>
      <c r="E598" t="s">
        <v>13</v>
      </c>
      <c r="F598" t="s">
        <v>26</v>
      </c>
      <c r="G598" s="2">
        <v>52857</v>
      </c>
      <c r="H598">
        <v>7</v>
      </c>
      <c r="I598" s="3">
        <v>0</v>
      </c>
      <c r="J598" s="2">
        <v>4568.0600000000004</v>
      </c>
    </row>
    <row r="599" spans="1:10" x14ac:dyDescent="0.35">
      <c r="A599" t="s">
        <v>624</v>
      </c>
      <c r="B599" s="1">
        <v>45352</v>
      </c>
      <c r="C599" t="s">
        <v>21</v>
      </c>
      <c r="D599" t="s">
        <v>28</v>
      </c>
      <c r="E599" t="s">
        <v>18</v>
      </c>
      <c r="F599" t="s">
        <v>14</v>
      </c>
      <c r="G599" s="2">
        <v>75690</v>
      </c>
      <c r="H599">
        <v>10</v>
      </c>
      <c r="I599" s="3">
        <v>0.1</v>
      </c>
      <c r="J599" s="2">
        <v>-2792.75</v>
      </c>
    </row>
    <row r="600" spans="1:10" x14ac:dyDescent="0.35">
      <c r="A600" t="s">
        <v>625</v>
      </c>
      <c r="B600" s="1">
        <v>45630</v>
      </c>
      <c r="C600" t="s">
        <v>11</v>
      </c>
      <c r="D600" t="s">
        <v>22</v>
      </c>
      <c r="E600" t="s">
        <v>18</v>
      </c>
      <c r="F600" t="s">
        <v>40</v>
      </c>
      <c r="G600" s="2">
        <v>32993</v>
      </c>
      <c r="H600">
        <v>8</v>
      </c>
      <c r="I600" s="3">
        <v>0.1</v>
      </c>
      <c r="J600" s="2">
        <v>-1134.08</v>
      </c>
    </row>
    <row r="601" spans="1:10" x14ac:dyDescent="0.35">
      <c r="A601" t="s">
        <v>626</v>
      </c>
      <c r="B601" s="1">
        <v>45575</v>
      </c>
      <c r="C601" t="s">
        <v>16</v>
      </c>
      <c r="D601" t="s">
        <v>28</v>
      </c>
      <c r="E601" t="s">
        <v>13</v>
      </c>
      <c r="F601" t="s">
        <v>33</v>
      </c>
      <c r="G601" s="2">
        <v>121325</v>
      </c>
      <c r="H601">
        <v>9</v>
      </c>
      <c r="I601" s="3">
        <v>0.15</v>
      </c>
      <c r="J601" s="2">
        <v>3101.72</v>
      </c>
    </row>
    <row r="602" spans="1:10" x14ac:dyDescent="0.35">
      <c r="A602" t="s">
        <v>627</v>
      </c>
      <c r="B602" s="1">
        <v>45518</v>
      </c>
      <c r="C602" t="s">
        <v>21</v>
      </c>
      <c r="D602" t="s">
        <v>28</v>
      </c>
      <c r="E602" t="s">
        <v>23</v>
      </c>
      <c r="F602" t="s">
        <v>19</v>
      </c>
      <c r="G602" s="2">
        <v>21518</v>
      </c>
      <c r="H602">
        <v>5</v>
      </c>
      <c r="I602" s="3">
        <v>0.1</v>
      </c>
      <c r="J602" s="2">
        <v>168.92</v>
      </c>
    </row>
    <row r="603" spans="1:10" x14ac:dyDescent="0.35">
      <c r="A603" t="s">
        <v>628</v>
      </c>
      <c r="B603" s="1">
        <v>45622</v>
      </c>
      <c r="C603" t="s">
        <v>21</v>
      </c>
      <c r="D603" t="s">
        <v>12</v>
      </c>
      <c r="E603" t="s">
        <v>23</v>
      </c>
      <c r="F603" t="s">
        <v>31</v>
      </c>
      <c r="G603" s="2">
        <v>127904</v>
      </c>
      <c r="H603">
        <v>9</v>
      </c>
      <c r="I603" s="3">
        <v>0.1</v>
      </c>
      <c r="J603" s="2">
        <v>-1070.28</v>
      </c>
    </row>
    <row r="604" spans="1:10" x14ac:dyDescent="0.35">
      <c r="A604" t="s">
        <v>629</v>
      </c>
      <c r="B604" s="1">
        <v>45627</v>
      </c>
      <c r="C604" t="s">
        <v>16</v>
      </c>
      <c r="D604" t="s">
        <v>12</v>
      </c>
      <c r="E604" t="s">
        <v>23</v>
      </c>
      <c r="F604" t="s">
        <v>19</v>
      </c>
      <c r="G604" s="2">
        <v>118443</v>
      </c>
      <c r="H604">
        <v>6</v>
      </c>
      <c r="I604" s="3">
        <v>0.15</v>
      </c>
      <c r="J604" s="2">
        <v>10188.879999999999</v>
      </c>
    </row>
    <row r="605" spans="1:10" x14ac:dyDescent="0.35">
      <c r="A605" t="s">
        <v>630</v>
      </c>
      <c r="B605" s="1">
        <v>45325</v>
      </c>
      <c r="C605" t="s">
        <v>21</v>
      </c>
      <c r="D605" t="s">
        <v>22</v>
      </c>
      <c r="E605" t="s">
        <v>23</v>
      </c>
      <c r="F605" t="s">
        <v>40</v>
      </c>
      <c r="G605" s="2">
        <v>9256</v>
      </c>
      <c r="H605">
        <v>5</v>
      </c>
      <c r="I605" s="3">
        <v>0.15</v>
      </c>
      <c r="J605" s="2">
        <v>679.6</v>
      </c>
    </row>
    <row r="606" spans="1:10" x14ac:dyDescent="0.35">
      <c r="A606" t="s">
        <v>631</v>
      </c>
      <c r="B606" s="1">
        <v>45475</v>
      </c>
      <c r="C606" t="s">
        <v>16</v>
      </c>
      <c r="D606" t="s">
        <v>22</v>
      </c>
      <c r="E606" t="s">
        <v>13</v>
      </c>
      <c r="F606" t="s">
        <v>40</v>
      </c>
      <c r="G606" s="2">
        <v>40666</v>
      </c>
      <c r="H606">
        <v>3</v>
      </c>
      <c r="I606" s="3">
        <v>0.05</v>
      </c>
      <c r="J606" s="2">
        <v>7404.93</v>
      </c>
    </row>
    <row r="607" spans="1:10" x14ac:dyDescent="0.35">
      <c r="A607" t="s">
        <v>632</v>
      </c>
      <c r="B607" s="1">
        <v>45554</v>
      </c>
      <c r="C607" t="s">
        <v>16</v>
      </c>
      <c r="D607" t="s">
        <v>28</v>
      </c>
      <c r="E607" t="s">
        <v>18</v>
      </c>
      <c r="F607" t="s">
        <v>24</v>
      </c>
      <c r="G607" s="2">
        <v>27310</v>
      </c>
      <c r="H607">
        <v>4</v>
      </c>
      <c r="I607" s="3">
        <v>0.1</v>
      </c>
      <c r="J607" s="2">
        <v>-547.54</v>
      </c>
    </row>
    <row r="608" spans="1:10" x14ac:dyDescent="0.35">
      <c r="A608" t="s">
        <v>633</v>
      </c>
      <c r="B608" s="1">
        <v>45344</v>
      </c>
      <c r="C608" t="s">
        <v>16</v>
      </c>
      <c r="D608" t="s">
        <v>22</v>
      </c>
      <c r="E608" t="s">
        <v>18</v>
      </c>
      <c r="F608" t="s">
        <v>19</v>
      </c>
      <c r="G608" s="2">
        <v>43047</v>
      </c>
      <c r="H608">
        <v>4</v>
      </c>
      <c r="I608" s="3">
        <v>0.15</v>
      </c>
      <c r="J608" s="2">
        <v>-860.47</v>
      </c>
    </row>
    <row r="609" spans="1:10" x14ac:dyDescent="0.35">
      <c r="A609" t="s">
        <v>634</v>
      </c>
      <c r="B609" s="1">
        <v>45379</v>
      </c>
      <c r="C609" t="s">
        <v>21</v>
      </c>
      <c r="D609" t="s">
        <v>22</v>
      </c>
      <c r="E609" t="s">
        <v>23</v>
      </c>
      <c r="F609" t="s">
        <v>24</v>
      </c>
      <c r="G609" s="2">
        <v>143994</v>
      </c>
      <c r="H609">
        <v>2</v>
      </c>
      <c r="I609" s="3">
        <v>0.05</v>
      </c>
      <c r="J609" s="2">
        <v>5122.18</v>
      </c>
    </row>
    <row r="610" spans="1:10" x14ac:dyDescent="0.35">
      <c r="A610" t="s">
        <v>635</v>
      </c>
      <c r="B610" s="1">
        <v>45629</v>
      </c>
      <c r="C610" t="s">
        <v>16</v>
      </c>
      <c r="D610" t="s">
        <v>22</v>
      </c>
      <c r="E610" t="s">
        <v>13</v>
      </c>
      <c r="F610" t="s">
        <v>31</v>
      </c>
      <c r="G610" s="2">
        <v>46298</v>
      </c>
      <c r="H610">
        <v>5</v>
      </c>
      <c r="I610" s="3">
        <v>0</v>
      </c>
      <c r="J610" s="2">
        <v>5548.36</v>
      </c>
    </row>
    <row r="611" spans="1:10" x14ac:dyDescent="0.35">
      <c r="A611" t="s">
        <v>636</v>
      </c>
      <c r="B611" s="1">
        <v>45637</v>
      </c>
      <c r="C611" t="s">
        <v>16</v>
      </c>
      <c r="D611" t="s">
        <v>12</v>
      </c>
      <c r="E611" t="s">
        <v>23</v>
      </c>
      <c r="F611" t="s">
        <v>24</v>
      </c>
      <c r="G611" s="2">
        <v>9667</v>
      </c>
      <c r="H611">
        <v>2</v>
      </c>
      <c r="I611" s="3">
        <v>0</v>
      </c>
      <c r="J611" s="2">
        <v>1831.05</v>
      </c>
    </row>
    <row r="612" spans="1:10" x14ac:dyDescent="0.35">
      <c r="A612" t="s">
        <v>637</v>
      </c>
      <c r="B612" s="1">
        <v>45306</v>
      </c>
      <c r="C612" t="s">
        <v>11</v>
      </c>
      <c r="D612" t="s">
        <v>12</v>
      </c>
      <c r="E612" t="s">
        <v>23</v>
      </c>
      <c r="F612" t="s">
        <v>26</v>
      </c>
      <c r="G612" s="2">
        <v>22256</v>
      </c>
      <c r="H612">
        <v>10</v>
      </c>
      <c r="I612" s="3">
        <v>0.15</v>
      </c>
      <c r="J612" s="2">
        <v>-465.44</v>
      </c>
    </row>
    <row r="613" spans="1:10" x14ac:dyDescent="0.35">
      <c r="A613" t="s">
        <v>638</v>
      </c>
      <c r="B613" s="1">
        <v>45425</v>
      </c>
      <c r="C613" t="s">
        <v>11</v>
      </c>
      <c r="D613" t="s">
        <v>22</v>
      </c>
      <c r="E613" t="s">
        <v>13</v>
      </c>
      <c r="F613" t="s">
        <v>33</v>
      </c>
      <c r="G613" s="2">
        <v>96255</v>
      </c>
      <c r="H613">
        <v>3</v>
      </c>
      <c r="I613" s="3">
        <v>0.05</v>
      </c>
      <c r="J613" s="2">
        <v>17986.43</v>
      </c>
    </row>
    <row r="614" spans="1:10" x14ac:dyDescent="0.35">
      <c r="A614" t="s">
        <v>639</v>
      </c>
      <c r="B614" s="1">
        <v>45389</v>
      </c>
      <c r="C614" t="s">
        <v>11</v>
      </c>
      <c r="D614" t="s">
        <v>17</v>
      </c>
      <c r="E614" t="s">
        <v>13</v>
      </c>
      <c r="F614" t="s">
        <v>19</v>
      </c>
      <c r="G614" s="2">
        <v>17074</v>
      </c>
      <c r="H614">
        <v>7</v>
      </c>
      <c r="I614" s="3">
        <v>0.05</v>
      </c>
      <c r="J614" s="2">
        <v>1251.21</v>
      </c>
    </row>
    <row r="615" spans="1:10" x14ac:dyDescent="0.35">
      <c r="A615" t="s">
        <v>640</v>
      </c>
      <c r="B615" s="1">
        <v>45641</v>
      </c>
      <c r="C615" t="s">
        <v>11</v>
      </c>
      <c r="D615" t="s">
        <v>17</v>
      </c>
      <c r="E615" t="s">
        <v>13</v>
      </c>
      <c r="F615" t="s">
        <v>26</v>
      </c>
      <c r="G615" s="2">
        <v>25191</v>
      </c>
      <c r="H615">
        <v>3</v>
      </c>
      <c r="I615" s="3">
        <v>0.1</v>
      </c>
      <c r="J615" s="2">
        <v>-274.05</v>
      </c>
    </row>
    <row r="616" spans="1:10" x14ac:dyDescent="0.35">
      <c r="A616" t="s">
        <v>641</v>
      </c>
      <c r="B616" s="1">
        <v>45347</v>
      </c>
      <c r="C616" t="s">
        <v>11</v>
      </c>
      <c r="D616" t="s">
        <v>17</v>
      </c>
      <c r="E616" t="s">
        <v>18</v>
      </c>
      <c r="F616" t="s">
        <v>31</v>
      </c>
      <c r="G616" s="2">
        <v>10684</v>
      </c>
      <c r="H616">
        <v>5</v>
      </c>
      <c r="I616" s="3">
        <v>0.1</v>
      </c>
      <c r="J616" s="2">
        <v>-134.66</v>
      </c>
    </row>
    <row r="617" spans="1:10" x14ac:dyDescent="0.35">
      <c r="A617" t="s">
        <v>642</v>
      </c>
      <c r="B617" s="1">
        <v>45518</v>
      </c>
      <c r="C617" t="s">
        <v>16</v>
      </c>
      <c r="D617" t="s">
        <v>22</v>
      </c>
      <c r="E617" t="s">
        <v>13</v>
      </c>
      <c r="F617" t="s">
        <v>33</v>
      </c>
      <c r="G617" s="2">
        <v>118402</v>
      </c>
      <c r="H617">
        <v>4</v>
      </c>
      <c r="I617" s="3">
        <v>0.05</v>
      </c>
      <c r="J617" s="2">
        <v>18746.580000000002</v>
      </c>
    </row>
    <row r="618" spans="1:10" x14ac:dyDescent="0.35">
      <c r="A618" t="s">
        <v>643</v>
      </c>
      <c r="B618" s="1">
        <v>45550</v>
      </c>
      <c r="C618" t="s">
        <v>11</v>
      </c>
      <c r="D618" t="s">
        <v>17</v>
      </c>
      <c r="E618" t="s">
        <v>13</v>
      </c>
      <c r="F618" t="s">
        <v>19</v>
      </c>
      <c r="G618" s="2">
        <v>137027</v>
      </c>
      <c r="H618">
        <v>3</v>
      </c>
      <c r="I618" s="3">
        <v>0.1</v>
      </c>
      <c r="J618" s="2">
        <v>18907.18</v>
      </c>
    </row>
    <row r="619" spans="1:10" x14ac:dyDescent="0.35">
      <c r="A619" t="s">
        <v>644</v>
      </c>
      <c r="B619" s="1">
        <v>45614</v>
      </c>
      <c r="C619" t="s">
        <v>21</v>
      </c>
      <c r="D619" t="s">
        <v>12</v>
      </c>
      <c r="E619" t="s">
        <v>18</v>
      </c>
      <c r="F619" t="s">
        <v>14</v>
      </c>
      <c r="G619" s="2">
        <v>102044</v>
      </c>
      <c r="H619">
        <v>2</v>
      </c>
      <c r="I619" s="3">
        <v>0.05</v>
      </c>
      <c r="J619" s="2">
        <v>10895.37</v>
      </c>
    </row>
    <row r="620" spans="1:10" x14ac:dyDescent="0.35">
      <c r="A620" t="s">
        <v>645</v>
      </c>
      <c r="B620" s="1">
        <v>45341</v>
      </c>
      <c r="C620" t="s">
        <v>16</v>
      </c>
      <c r="D620" t="s">
        <v>28</v>
      </c>
      <c r="E620" t="s">
        <v>23</v>
      </c>
      <c r="F620" t="s">
        <v>19</v>
      </c>
      <c r="G620" s="2">
        <v>41407</v>
      </c>
      <c r="H620">
        <v>6</v>
      </c>
      <c r="I620" s="3">
        <v>0.15</v>
      </c>
      <c r="J620" s="2">
        <v>-2706.13</v>
      </c>
    </row>
    <row r="621" spans="1:10" x14ac:dyDescent="0.35">
      <c r="A621" t="s">
        <v>646</v>
      </c>
      <c r="B621" s="1">
        <v>45645</v>
      </c>
      <c r="C621" t="s">
        <v>11</v>
      </c>
      <c r="D621" t="s">
        <v>17</v>
      </c>
      <c r="E621" t="s">
        <v>18</v>
      </c>
      <c r="F621" t="s">
        <v>33</v>
      </c>
      <c r="G621" s="2">
        <v>66424</v>
      </c>
      <c r="H621">
        <v>2</v>
      </c>
      <c r="I621" s="3">
        <v>0.1</v>
      </c>
      <c r="J621" s="2">
        <v>-2360.73</v>
      </c>
    </row>
    <row r="622" spans="1:10" x14ac:dyDescent="0.35">
      <c r="A622" t="s">
        <v>647</v>
      </c>
      <c r="B622" s="1">
        <v>45539</v>
      </c>
      <c r="C622" t="s">
        <v>16</v>
      </c>
      <c r="D622" t="s">
        <v>22</v>
      </c>
      <c r="E622" t="s">
        <v>23</v>
      </c>
      <c r="F622" t="s">
        <v>40</v>
      </c>
      <c r="G622" s="2">
        <v>66123</v>
      </c>
      <c r="H622">
        <v>10</v>
      </c>
      <c r="I622" s="3">
        <v>0</v>
      </c>
      <c r="J622" s="2">
        <v>10348.86</v>
      </c>
    </row>
    <row r="623" spans="1:10" x14ac:dyDescent="0.35">
      <c r="A623" t="s">
        <v>648</v>
      </c>
      <c r="B623" s="1">
        <v>45323</v>
      </c>
      <c r="C623" t="s">
        <v>16</v>
      </c>
      <c r="D623" t="s">
        <v>17</v>
      </c>
      <c r="E623" t="s">
        <v>23</v>
      </c>
      <c r="F623" t="s">
        <v>26</v>
      </c>
      <c r="G623" s="2">
        <v>92889</v>
      </c>
      <c r="H623">
        <v>3</v>
      </c>
      <c r="I623" s="3">
        <v>0.05</v>
      </c>
      <c r="J623" s="2">
        <v>3118.69</v>
      </c>
    </row>
    <row r="624" spans="1:10" x14ac:dyDescent="0.35">
      <c r="A624" t="s">
        <v>649</v>
      </c>
      <c r="B624" s="1">
        <v>45303</v>
      </c>
      <c r="C624" t="s">
        <v>21</v>
      </c>
      <c r="D624" t="s">
        <v>17</v>
      </c>
      <c r="E624" t="s">
        <v>23</v>
      </c>
      <c r="F624" t="s">
        <v>14</v>
      </c>
      <c r="G624" s="2">
        <v>71540</v>
      </c>
      <c r="H624">
        <v>9</v>
      </c>
      <c r="I624" s="3">
        <v>0.15</v>
      </c>
      <c r="J624" s="2">
        <v>-6706.65</v>
      </c>
    </row>
    <row r="625" spans="1:10" x14ac:dyDescent="0.35">
      <c r="A625" t="s">
        <v>650</v>
      </c>
      <c r="B625" s="1">
        <v>45489</v>
      </c>
      <c r="C625" t="s">
        <v>21</v>
      </c>
      <c r="D625" t="s">
        <v>22</v>
      </c>
      <c r="E625" t="s">
        <v>23</v>
      </c>
      <c r="F625" t="s">
        <v>26</v>
      </c>
      <c r="G625" s="2">
        <v>93541</v>
      </c>
      <c r="H625">
        <v>6</v>
      </c>
      <c r="I625" s="3">
        <v>0.15</v>
      </c>
      <c r="J625" s="2">
        <v>-8012.24</v>
      </c>
    </row>
    <row r="626" spans="1:10" x14ac:dyDescent="0.35">
      <c r="A626" t="s">
        <v>651</v>
      </c>
      <c r="B626" s="1">
        <v>45395</v>
      </c>
      <c r="C626" t="s">
        <v>21</v>
      </c>
      <c r="D626" t="s">
        <v>17</v>
      </c>
      <c r="E626" t="s">
        <v>23</v>
      </c>
      <c r="F626" t="s">
        <v>26</v>
      </c>
      <c r="G626" s="2">
        <v>64526</v>
      </c>
      <c r="H626">
        <v>2</v>
      </c>
      <c r="I626" s="3">
        <v>0.15</v>
      </c>
      <c r="J626" s="2">
        <v>1134.7</v>
      </c>
    </row>
    <row r="627" spans="1:10" x14ac:dyDescent="0.35">
      <c r="A627" t="s">
        <v>652</v>
      </c>
      <c r="B627" s="1">
        <v>45501</v>
      </c>
      <c r="C627" t="s">
        <v>21</v>
      </c>
      <c r="D627" t="s">
        <v>28</v>
      </c>
      <c r="E627" t="s">
        <v>18</v>
      </c>
      <c r="F627" t="s">
        <v>33</v>
      </c>
      <c r="G627" s="2">
        <v>131950</v>
      </c>
      <c r="H627">
        <v>10</v>
      </c>
      <c r="I627" s="3">
        <v>0</v>
      </c>
      <c r="J627" s="2">
        <v>24175.89</v>
      </c>
    </row>
    <row r="628" spans="1:10" x14ac:dyDescent="0.35">
      <c r="A628" t="s">
        <v>653</v>
      </c>
      <c r="B628" s="1">
        <v>45439</v>
      </c>
      <c r="C628" t="s">
        <v>11</v>
      </c>
      <c r="D628" t="s">
        <v>22</v>
      </c>
      <c r="E628" t="s">
        <v>23</v>
      </c>
      <c r="F628" t="s">
        <v>33</v>
      </c>
      <c r="G628" s="2">
        <v>13250</v>
      </c>
      <c r="H628">
        <v>5</v>
      </c>
      <c r="I628" s="3">
        <v>0.05</v>
      </c>
      <c r="J628" s="2">
        <v>1498.52</v>
      </c>
    </row>
    <row r="629" spans="1:10" x14ac:dyDescent="0.35">
      <c r="A629" t="s">
        <v>654</v>
      </c>
      <c r="B629" s="1">
        <v>45336</v>
      </c>
      <c r="C629" t="s">
        <v>11</v>
      </c>
      <c r="D629" t="s">
        <v>12</v>
      </c>
      <c r="E629" t="s">
        <v>13</v>
      </c>
      <c r="F629" t="s">
        <v>14</v>
      </c>
      <c r="G629" s="2">
        <v>148516</v>
      </c>
      <c r="H629">
        <v>10</v>
      </c>
      <c r="I629" s="3">
        <v>0</v>
      </c>
      <c r="J629" s="2">
        <v>17641.099999999999</v>
      </c>
    </row>
    <row r="630" spans="1:10" x14ac:dyDescent="0.35">
      <c r="A630" t="s">
        <v>655</v>
      </c>
      <c r="B630" s="1">
        <v>45374</v>
      </c>
      <c r="C630" t="s">
        <v>16</v>
      </c>
      <c r="D630" t="s">
        <v>28</v>
      </c>
      <c r="E630" t="s">
        <v>13</v>
      </c>
      <c r="F630" t="s">
        <v>24</v>
      </c>
      <c r="G630" s="2">
        <v>114823</v>
      </c>
      <c r="H630">
        <v>1</v>
      </c>
      <c r="I630" s="3">
        <v>0.1</v>
      </c>
      <c r="J630" s="2">
        <v>4841.46</v>
      </c>
    </row>
    <row r="631" spans="1:10" x14ac:dyDescent="0.35">
      <c r="A631" t="s">
        <v>656</v>
      </c>
      <c r="B631" s="1">
        <v>45302</v>
      </c>
      <c r="C631" t="s">
        <v>11</v>
      </c>
      <c r="D631" t="s">
        <v>22</v>
      </c>
      <c r="E631" t="s">
        <v>13</v>
      </c>
      <c r="F631" t="s">
        <v>31</v>
      </c>
      <c r="G631" s="2">
        <v>79365</v>
      </c>
      <c r="H631">
        <v>4</v>
      </c>
      <c r="I631" s="3">
        <v>0.1</v>
      </c>
      <c r="J631" s="2">
        <v>1513.07</v>
      </c>
    </row>
    <row r="632" spans="1:10" x14ac:dyDescent="0.35">
      <c r="A632" t="s">
        <v>657</v>
      </c>
      <c r="B632" s="1">
        <v>45474</v>
      </c>
      <c r="C632" t="s">
        <v>11</v>
      </c>
      <c r="D632" t="s">
        <v>12</v>
      </c>
      <c r="E632" t="s">
        <v>23</v>
      </c>
      <c r="F632" t="s">
        <v>40</v>
      </c>
      <c r="G632" s="2">
        <v>35495</v>
      </c>
      <c r="H632">
        <v>6</v>
      </c>
      <c r="I632" s="3">
        <v>0.1</v>
      </c>
      <c r="J632" s="2">
        <v>3161.89</v>
      </c>
    </row>
    <row r="633" spans="1:10" x14ac:dyDescent="0.35">
      <c r="A633" t="s">
        <v>658</v>
      </c>
      <c r="B633" s="1">
        <v>45488</v>
      </c>
      <c r="C633" t="s">
        <v>21</v>
      </c>
      <c r="D633" t="s">
        <v>22</v>
      </c>
      <c r="E633" t="s">
        <v>18</v>
      </c>
      <c r="F633" t="s">
        <v>31</v>
      </c>
      <c r="G633" s="2">
        <v>132394</v>
      </c>
      <c r="H633">
        <v>2</v>
      </c>
      <c r="I633" s="3">
        <v>0</v>
      </c>
      <c r="J633" s="2">
        <v>8125.68</v>
      </c>
    </row>
    <row r="634" spans="1:10" x14ac:dyDescent="0.35">
      <c r="A634" t="s">
        <v>659</v>
      </c>
      <c r="B634" s="1">
        <v>45487</v>
      </c>
      <c r="C634" t="s">
        <v>11</v>
      </c>
      <c r="D634" t="s">
        <v>22</v>
      </c>
      <c r="E634" t="s">
        <v>13</v>
      </c>
      <c r="F634" t="s">
        <v>40</v>
      </c>
      <c r="G634" s="2">
        <v>88019</v>
      </c>
      <c r="H634">
        <v>7</v>
      </c>
      <c r="I634" s="3">
        <v>0.15</v>
      </c>
      <c r="J634" s="2">
        <v>3390.61</v>
      </c>
    </row>
    <row r="635" spans="1:10" x14ac:dyDescent="0.35">
      <c r="A635" t="s">
        <v>660</v>
      </c>
      <c r="B635" s="1">
        <v>45306</v>
      </c>
      <c r="C635" t="s">
        <v>11</v>
      </c>
      <c r="D635" t="s">
        <v>12</v>
      </c>
      <c r="E635" t="s">
        <v>13</v>
      </c>
      <c r="F635" t="s">
        <v>33</v>
      </c>
      <c r="G635" s="2">
        <v>25208</v>
      </c>
      <c r="H635">
        <v>8</v>
      </c>
      <c r="I635" s="3">
        <v>0</v>
      </c>
      <c r="J635" s="2">
        <v>1361.62</v>
      </c>
    </row>
    <row r="636" spans="1:10" x14ac:dyDescent="0.35">
      <c r="A636" t="s">
        <v>661</v>
      </c>
      <c r="B636" s="1">
        <v>45614</v>
      </c>
      <c r="C636" t="s">
        <v>11</v>
      </c>
      <c r="D636" t="s">
        <v>28</v>
      </c>
      <c r="E636" t="s">
        <v>13</v>
      </c>
      <c r="F636" t="s">
        <v>31</v>
      </c>
      <c r="G636" s="2">
        <v>95548</v>
      </c>
      <c r="H636">
        <v>6</v>
      </c>
      <c r="I636" s="3">
        <v>0.15</v>
      </c>
      <c r="J636" s="2">
        <v>-8856.7000000000007</v>
      </c>
    </row>
    <row r="637" spans="1:10" x14ac:dyDescent="0.35">
      <c r="A637" t="s">
        <v>662</v>
      </c>
      <c r="B637" s="1">
        <v>45342</v>
      </c>
      <c r="C637" t="s">
        <v>11</v>
      </c>
      <c r="D637" t="s">
        <v>17</v>
      </c>
      <c r="E637" t="s">
        <v>13</v>
      </c>
      <c r="F637" t="s">
        <v>33</v>
      </c>
      <c r="G637" s="2">
        <v>47474</v>
      </c>
      <c r="H637">
        <v>6</v>
      </c>
      <c r="I637" s="3">
        <v>0.1</v>
      </c>
      <c r="J637" s="2">
        <v>-1678.57</v>
      </c>
    </row>
    <row r="638" spans="1:10" x14ac:dyDescent="0.35">
      <c r="A638" t="s">
        <v>663</v>
      </c>
      <c r="B638" s="1">
        <v>45342</v>
      </c>
      <c r="C638" t="s">
        <v>11</v>
      </c>
      <c r="D638" t="s">
        <v>12</v>
      </c>
      <c r="E638" t="s">
        <v>13</v>
      </c>
      <c r="F638" t="s">
        <v>19</v>
      </c>
      <c r="G638" s="2">
        <v>84225</v>
      </c>
      <c r="H638">
        <v>1</v>
      </c>
      <c r="I638" s="3">
        <v>0.05</v>
      </c>
      <c r="J638" s="2">
        <v>3750.02</v>
      </c>
    </row>
    <row r="639" spans="1:10" x14ac:dyDescent="0.35">
      <c r="A639" t="s">
        <v>664</v>
      </c>
      <c r="B639" s="1">
        <v>45292</v>
      </c>
      <c r="C639" t="s">
        <v>11</v>
      </c>
      <c r="D639" t="s">
        <v>22</v>
      </c>
      <c r="E639" t="s">
        <v>18</v>
      </c>
      <c r="F639" t="s">
        <v>33</v>
      </c>
      <c r="G639" s="2">
        <v>81244</v>
      </c>
      <c r="H639">
        <v>3</v>
      </c>
      <c r="I639" s="3">
        <v>0.15</v>
      </c>
      <c r="J639" s="2">
        <v>-2176.35</v>
      </c>
    </row>
    <row r="640" spans="1:10" x14ac:dyDescent="0.35">
      <c r="A640" t="s">
        <v>665</v>
      </c>
      <c r="B640" s="1">
        <v>45415</v>
      </c>
      <c r="C640" t="s">
        <v>11</v>
      </c>
      <c r="D640" t="s">
        <v>22</v>
      </c>
      <c r="E640" t="s">
        <v>13</v>
      </c>
      <c r="F640" t="s">
        <v>40</v>
      </c>
      <c r="G640" s="2">
        <v>85632</v>
      </c>
      <c r="H640">
        <v>1</v>
      </c>
      <c r="I640" s="3">
        <v>0</v>
      </c>
      <c r="J640" s="2">
        <v>6764.37</v>
      </c>
    </row>
    <row r="641" spans="1:10" x14ac:dyDescent="0.35">
      <c r="A641" t="s">
        <v>666</v>
      </c>
      <c r="B641" s="1">
        <v>45650</v>
      </c>
      <c r="C641" t="s">
        <v>11</v>
      </c>
      <c r="D641" t="s">
        <v>22</v>
      </c>
      <c r="E641" t="s">
        <v>18</v>
      </c>
      <c r="F641" t="s">
        <v>24</v>
      </c>
      <c r="G641" s="2">
        <v>48828</v>
      </c>
      <c r="H641">
        <v>2</v>
      </c>
      <c r="I641" s="3">
        <v>0</v>
      </c>
      <c r="J641" s="2">
        <v>10697.15</v>
      </c>
    </row>
    <row r="642" spans="1:10" x14ac:dyDescent="0.35">
      <c r="A642" t="s">
        <v>667</v>
      </c>
      <c r="B642" s="1">
        <v>45337</v>
      </c>
      <c r="C642" t="s">
        <v>16</v>
      </c>
      <c r="D642" t="s">
        <v>28</v>
      </c>
      <c r="E642" t="s">
        <v>23</v>
      </c>
      <c r="F642" t="s">
        <v>33</v>
      </c>
      <c r="G642" s="2">
        <v>58720</v>
      </c>
      <c r="H642">
        <v>7</v>
      </c>
      <c r="I642" s="3">
        <v>0</v>
      </c>
      <c r="J642" s="2">
        <v>6632.99</v>
      </c>
    </row>
    <row r="643" spans="1:10" x14ac:dyDescent="0.35">
      <c r="A643" t="s">
        <v>668</v>
      </c>
      <c r="B643" s="1">
        <v>45326</v>
      </c>
      <c r="C643" t="s">
        <v>16</v>
      </c>
      <c r="D643" t="s">
        <v>12</v>
      </c>
      <c r="E643" t="s">
        <v>13</v>
      </c>
      <c r="F643" t="s">
        <v>40</v>
      </c>
      <c r="G643" s="2">
        <v>49204</v>
      </c>
      <c r="H643">
        <v>9</v>
      </c>
      <c r="I643" s="3">
        <v>0.05</v>
      </c>
      <c r="J643" s="2">
        <v>935.46</v>
      </c>
    </row>
    <row r="644" spans="1:10" x14ac:dyDescent="0.35">
      <c r="A644" t="s">
        <v>669</v>
      </c>
      <c r="B644" s="1">
        <v>45341</v>
      </c>
      <c r="C644" t="s">
        <v>11</v>
      </c>
      <c r="D644" t="s">
        <v>17</v>
      </c>
      <c r="E644" t="s">
        <v>18</v>
      </c>
      <c r="F644" t="s">
        <v>24</v>
      </c>
      <c r="G644" s="2">
        <v>17862</v>
      </c>
      <c r="H644">
        <v>8</v>
      </c>
      <c r="I644" s="3">
        <v>0.1</v>
      </c>
      <c r="J644" s="2">
        <v>1676.64</v>
      </c>
    </row>
    <row r="645" spans="1:10" x14ac:dyDescent="0.35">
      <c r="A645" t="s">
        <v>670</v>
      </c>
      <c r="B645" s="1">
        <v>45332</v>
      </c>
      <c r="C645" t="s">
        <v>21</v>
      </c>
      <c r="D645" t="s">
        <v>17</v>
      </c>
      <c r="E645" t="s">
        <v>13</v>
      </c>
      <c r="F645" t="s">
        <v>26</v>
      </c>
      <c r="G645" s="2">
        <v>103881</v>
      </c>
      <c r="H645">
        <v>6</v>
      </c>
      <c r="I645" s="3">
        <v>0.05</v>
      </c>
      <c r="J645" s="2">
        <v>7239.55</v>
      </c>
    </row>
    <row r="646" spans="1:10" x14ac:dyDescent="0.35">
      <c r="A646" t="s">
        <v>671</v>
      </c>
      <c r="B646" s="1">
        <v>45552</v>
      </c>
      <c r="C646" t="s">
        <v>16</v>
      </c>
      <c r="D646" t="s">
        <v>12</v>
      </c>
      <c r="E646" t="s">
        <v>18</v>
      </c>
      <c r="F646" t="s">
        <v>14</v>
      </c>
      <c r="G646" s="2">
        <v>141416</v>
      </c>
      <c r="H646">
        <v>1</v>
      </c>
      <c r="I646" s="3">
        <v>0.15</v>
      </c>
      <c r="J646" s="2">
        <v>5514.05</v>
      </c>
    </row>
    <row r="647" spans="1:10" x14ac:dyDescent="0.35">
      <c r="A647" t="s">
        <v>672</v>
      </c>
      <c r="B647" s="1">
        <v>45597</v>
      </c>
      <c r="C647" t="s">
        <v>21</v>
      </c>
      <c r="D647" t="s">
        <v>17</v>
      </c>
      <c r="E647" t="s">
        <v>18</v>
      </c>
      <c r="F647" t="s">
        <v>26</v>
      </c>
      <c r="G647" s="2">
        <v>12466</v>
      </c>
      <c r="H647">
        <v>10</v>
      </c>
      <c r="I647" s="3">
        <v>0.05</v>
      </c>
      <c r="J647" s="2">
        <v>82.95</v>
      </c>
    </row>
    <row r="648" spans="1:10" x14ac:dyDescent="0.35">
      <c r="A648" t="s">
        <v>673</v>
      </c>
      <c r="B648" s="1">
        <v>45581</v>
      </c>
      <c r="C648" t="s">
        <v>11</v>
      </c>
      <c r="D648" t="s">
        <v>12</v>
      </c>
      <c r="E648" t="s">
        <v>23</v>
      </c>
      <c r="F648" t="s">
        <v>31</v>
      </c>
      <c r="G648" s="2">
        <v>111091</v>
      </c>
      <c r="H648">
        <v>6</v>
      </c>
      <c r="I648" s="3">
        <v>0</v>
      </c>
      <c r="J648" s="2">
        <v>15879.56</v>
      </c>
    </row>
    <row r="649" spans="1:10" x14ac:dyDescent="0.35">
      <c r="A649" t="s">
        <v>674</v>
      </c>
      <c r="B649" s="1">
        <v>45561</v>
      </c>
      <c r="C649" t="s">
        <v>11</v>
      </c>
      <c r="D649" t="s">
        <v>28</v>
      </c>
      <c r="E649" t="s">
        <v>18</v>
      </c>
      <c r="F649" t="s">
        <v>26</v>
      </c>
      <c r="G649" s="2">
        <v>130997</v>
      </c>
      <c r="H649">
        <v>2</v>
      </c>
      <c r="I649" s="3">
        <v>0.05</v>
      </c>
      <c r="J649" s="2">
        <v>2734.03</v>
      </c>
    </row>
    <row r="650" spans="1:10" x14ac:dyDescent="0.35">
      <c r="A650" t="s">
        <v>675</v>
      </c>
      <c r="B650" s="1">
        <v>45538</v>
      </c>
      <c r="C650" t="s">
        <v>16</v>
      </c>
      <c r="D650" t="s">
        <v>12</v>
      </c>
      <c r="E650" t="s">
        <v>23</v>
      </c>
      <c r="F650" t="s">
        <v>40</v>
      </c>
      <c r="G650" s="2">
        <v>88038</v>
      </c>
      <c r="H650">
        <v>5</v>
      </c>
      <c r="I650" s="3">
        <v>0.05</v>
      </c>
      <c r="J650" s="2">
        <v>13622.12</v>
      </c>
    </row>
    <row r="651" spans="1:10" x14ac:dyDescent="0.35">
      <c r="A651" t="s">
        <v>676</v>
      </c>
      <c r="B651" s="1">
        <v>45490</v>
      </c>
      <c r="C651" t="s">
        <v>11</v>
      </c>
      <c r="D651" t="s">
        <v>28</v>
      </c>
      <c r="E651" t="s">
        <v>13</v>
      </c>
      <c r="F651" t="s">
        <v>19</v>
      </c>
      <c r="G651" s="2">
        <v>125281</v>
      </c>
      <c r="H651">
        <v>8</v>
      </c>
      <c r="I651" s="3">
        <v>0.15</v>
      </c>
      <c r="J651" s="2">
        <v>8013.7</v>
      </c>
    </row>
    <row r="652" spans="1:10" x14ac:dyDescent="0.35">
      <c r="A652" t="s">
        <v>677</v>
      </c>
      <c r="B652" s="1">
        <v>45527</v>
      </c>
      <c r="C652" t="s">
        <v>21</v>
      </c>
      <c r="D652" t="s">
        <v>17</v>
      </c>
      <c r="E652" t="s">
        <v>23</v>
      </c>
      <c r="F652" t="s">
        <v>26</v>
      </c>
      <c r="G652" s="2">
        <v>65965</v>
      </c>
      <c r="H652">
        <v>8</v>
      </c>
      <c r="I652" s="3">
        <v>0</v>
      </c>
      <c r="J652" s="2">
        <v>9374.11</v>
      </c>
    </row>
    <row r="653" spans="1:10" x14ac:dyDescent="0.35">
      <c r="A653" t="s">
        <v>678</v>
      </c>
      <c r="B653" s="1">
        <v>45559</v>
      </c>
      <c r="C653" t="s">
        <v>11</v>
      </c>
      <c r="D653" t="s">
        <v>28</v>
      </c>
      <c r="E653" t="s">
        <v>23</v>
      </c>
      <c r="F653" t="s">
        <v>40</v>
      </c>
      <c r="G653" s="2">
        <v>76942</v>
      </c>
      <c r="H653">
        <v>9</v>
      </c>
      <c r="I653" s="3">
        <v>0.15</v>
      </c>
      <c r="J653" s="2">
        <v>4972.9799999999996</v>
      </c>
    </row>
    <row r="654" spans="1:10" x14ac:dyDescent="0.35">
      <c r="A654" t="s">
        <v>679</v>
      </c>
      <c r="B654" s="1">
        <v>45400</v>
      </c>
      <c r="C654" t="s">
        <v>21</v>
      </c>
      <c r="D654" t="s">
        <v>12</v>
      </c>
      <c r="E654" t="s">
        <v>23</v>
      </c>
      <c r="F654" t="s">
        <v>14</v>
      </c>
      <c r="G654" s="2">
        <v>95060</v>
      </c>
      <c r="H654">
        <v>7</v>
      </c>
      <c r="I654" s="3">
        <v>0.15</v>
      </c>
      <c r="J654" s="2">
        <v>-333.66</v>
      </c>
    </row>
    <row r="655" spans="1:10" x14ac:dyDescent="0.35">
      <c r="A655" t="s">
        <v>680</v>
      </c>
      <c r="B655" s="1">
        <v>45364</v>
      </c>
      <c r="C655" t="s">
        <v>11</v>
      </c>
      <c r="D655" t="s">
        <v>12</v>
      </c>
      <c r="E655" t="s">
        <v>23</v>
      </c>
      <c r="F655" t="s">
        <v>40</v>
      </c>
      <c r="G655" s="2">
        <v>41139</v>
      </c>
      <c r="H655">
        <v>10</v>
      </c>
      <c r="I655" s="3">
        <v>0.05</v>
      </c>
      <c r="J655" s="2">
        <v>4243.04</v>
      </c>
    </row>
    <row r="656" spans="1:10" x14ac:dyDescent="0.35">
      <c r="A656" t="s">
        <v>681</v>
      </c>
      <c r="B656" s="1">
        <v>45384</v>
      </c>
      <c r="C656" t="s">
        <v>11</v>
      </c>
      <c r="D656" t="s">
        <v>17</v>
      </c>
      <c r="E656" t="s">
        <v>23</v>
      </c>
      <c r="F656" t="s">
        <v>24</v>
      </c>
      <c r="G656" s="2">
        <v>108556</v>
      </c>
      <c r="H656">
        <v>1</v>
      </c>
      <c r="I656" s="3">
        <v>0.15</v>
      </c>
      <c r="J656" s="2">
        <v>10512.14</v>
      </c>
    </row>
    <row r="657" spans="1:10" x14ac:dyDescent="0.35">
      <c r="A657" t="s">
        <v>682</v>
      </c>
      <c r="B657" s="1">
        <v>45514</v>
      </c>
      <c r="C657" t="s">
        <v>11</v>
      </c>
      <c r="D657" t="s">
        <v>12</v>
      </c>
      <c r="E657" t="s">
        <v>18</v>
      </c>
      <c r="F657" t="s">
        <v>33</v>
      </c>
      <c r="G657" s="2">
        <v>58010</v>
      </c>
      <c r="H657">
        <v>7</v>
      </c>
      <c r="I657" s="3">
        <v>0.05</v>
      </c>
      <c r="J657" s="2">
        <v>225.86</v>
      </c>
    </row>
    <row r="658" spans="1:10" x14ac:dyDescent="0.35">
      <c r="A658" t="s">
        <v>683</v>
      </c>
      <c r="B658" s="1">
        <v>45427</v>
      </c>
      <c r="C658" t="s">
        <v>21</v>
      </c>
      <c r="D658" t="s">
        <v>22</v>
      </c>
      <c r="E658" t="s">
        <v>13</v>
      </c>
      <c r="F658" t="s">
        <v>33</v>
      </c>
      <c r="G658" s="2">
        <v>61751</v>
      </c>
      <c r="H658">
        <v>8</v>
      </c>
      <c r="I658" s="3">
        <v>0.05</v>
      </c>
      <c r="J658" s="2">
        <v>5165.51</v>
      </c>
    </row>
    <row r="659" spans="1:10" x14ac:dyDescent="0.35">
      <c r="A659" t="s">
        <v>684</v>
      </c>
      <c r="B659" s="1">
        <v>45352</v>
      </c>
      <c r="C659" t="s">
        <v>21</v>
      </c>
      <c r="D659" t="s">
        <v>22</v>
      </c>
      <c r="E659" t="s">
        <v>13</v>
      </c>
      <c r="F659" t="s">
        <v>31</v>
      </c>
      <c r="G659" s="2">
        <v>143998</v>
      </c>
      <c r="H659">
        <v>10</v>
      </c>
      <c r="I659" s="3">
        <v>0</v>
      </c>
      <c r="J659" s="2">
        <v>24446.69</v>
      </c>
    </row>
    <row r="660" spans="1:10" x14ac:dyDescent="0.35">
      <c r="A660" t="s">
        <v>685</v>
      </c>
      <c r="B660" s="1">
        <v>45376</v>
      </c>
      <c r="C660" t="s">
        <v>21</v>
      </c>
      <c r="D660" t="s">
        <v>22</v>
      </c>
      <c r="E660" t="s">
        <v>18</v>
      </c>
      <c r="F660" t="s">
        <v>26</v>
      </c>
      <c r="G660" s="2">
        <v>136436</v>
      </c>
      <c r="H660">
        <v>3</v>
      </c>
      <c r="I660" s="3">
        <v>0.1</v>
      </c>
      <c r="J660" s="2">
        <v>14022.84</v>
      </c>
    </row>
    <row r="661" spans="1:10" x14ac:dyDescent="0.35">
      <c r="A661" t="s">
        <v>686</v>
      </c>
      <c r="B661" s="1">
        <v>45453</v>
      </c>
      <c r="C661" t="s">
        <v>16</v>
      </c>
      <c r="D661" t="s">
        <v>12</v>
      </c>
      <c r="E661" t="s">
        <v>18</v>
      </c>
      <c r="F661" t="s">
        <v>24</v>
      </c>
      <c r="G661" s="2">
        <v>140715</v>
      </c>
      <c r="H661">
        <v>9</v>
      </c>
      <c r="I661" s="3">
        <v>0.15</v>
      </c>
      <c r="J661" s="2">
        <v>-11121.85</v>
      </c>
    </row>
    <row r="662" spans="1:10" x14ac:dyDescent="0.35">
      <c r="A662" t="s">
        <v>687</v>
      </c>
      <c r="B662" s="1">
        <v>45433</v>
      </c>
      <c r="C662" t="s">
        <v>21</v>
      </c>
      <c r="D662" t="s">
        <v>22</v>
      </c>
      <c r="E662" t="s">
        <v>18</v>
      </c>
      <c r="F662" t="s">
        <v>14</v>
      </c>
      <c r="G662" s="2">
        <v>119037</v>
      </c>
      <c r="H662">
        <v>8</v>
      </c>
      <c r="I662" s="3">
        <v>0</v>
      </c>
      <c r="J662" s="2">
        <v>8804.07</v>
      </c>
    </row>
    <row r="663" spans="1:10" x14ac:dyDescent="0.35">
      <c r="A663" t="s">
        <v>688</v>
      </c>
      <c r="B663" s="1">
        <v>45319</v>
      </c>
      <c r="C663" t="s">
        <v>21</v>
      </c>
      <c r="D663" t="s">
        <v>28</v>
      </c>
      <c r="E663" t="s">
        <v>13</v>
      </c>
      <c r="F663" t="s">
        <v>31</v>
      </c>
      <c r="G663" s="2">
        <v>139707</v>
      </c>
      <c r="H663">
        <v>9</v>
      </c>
      <c r="I663" s="3">
        <v>0</v>
      </c>
      <c r="J663" s="2">
        <v>32729.759999999998</v>
      </c>
    </row>
    <row r="664" spans="1:10" x14ac:dyDescent="0.35">
      <c r="A664" t="s">
        <v>689</v>
      </c>
      <c r="B664" s="1">
        <v>45349</v>
      </c>
      <c r="C664" t="s">
        <v>16</v>
      </c>
      <c r="D664" t="s">
        <v>22</v>
      </c>
      <c r="E664" t="s">
        <v>23</v>
      </c>
      <c r="F664" t="s">
        <v>26</v>
      </c>
      <c r="G664" s="2">
        <v>132458</v>
      </c>
      <c r="H664">
        <v>3</v>
      </c>
      <c r="I664" s="3">
        <v>0.1</v>
      </c>
      <c r="J664" s="2">
        <v>10309.719999999999</v>
      </c>
    </row>
    <row r="665" spans="1:10" x14ac:dyDescent="0.35">
      <c r="A665" t="s">
        <v>690</v>
      </c>
      <c r="B665" s="1">
        <v>45450</v>
      </c>
      <c r="C665" t="s">
        <v>16</v>
      </c>
      <c r="D665" t="s">
        <v>17</v>
      </c>
      <c r="E665" t="s">
        <v>13</v>
      </c>
      <c r="F665" t="s">
        <v>31</v>
      </c>
      <c r="G665" s="2">
        <v>28502</v>
      </c>
      <c r="H665">
        <v>8</v>
      </c>
      <c r="I665" s="3">
        <v>0.05</v>
      </c>
      <c r="J665" s="2">
        <v>3038.54</v>
      </c>
    </row>
    <row r="666" spans="1:10" x14ac:dyDescent="0.35">
      <c r="A666" t="s">
        <v>691</v>
      </c>
      <c r="B666" s="1">
        <v>45646</v>
      </c>
      <c r="C666" t="s">
        <v>16</v>
      </c>
      <c r="D666" t="s">
        <v>12</v>
      </c>
      <c r="E666" t="s">
        <v>18</v>
      </c>
      <c r="F666" t="s">
        <v>33</v>
      </c>
      <c r="G666" s="2">
        <v>35661</v>
      </c>
      <c r="H666">
        <v>9</v>
      </c>
      <c r="I666" s="3">
        <v>0.05</v>
      </c>
      <c r="J666" s="2">
        <v>3233.68</v>
      </c>
    </row>
    <row r="667" spans="1:10" x14ac:dyDescent="0.35">
      <c r="A667" t="s">
        <v>692</v>
      </c>
      <c r="B667" s="1">
        <v>45630</v>
      </c>
      <c r="C667" t="s">
        <v>11</v>
      </c>
      <c r="D667" t="s">
        <v>12</v>
      </c>
      <c r="E667" t="s">
        <v>23</v>
      </c>
      <c r="F667" t="s">
        <v>19</v>
      </c>
      <c r="G667" s="2">
        <v>122762</v>
      </c>
      <c r="H667">
        <v>1</v>
      </c>
      <c r="I667" s="3">
        <v>0</v>
      </c>
      <c r="J667" s="2">
        <v>26900.32</v>
      </c>
    </row>
    <row r="668" spans="1:10" x14ac:dyDescent="0.35">
      <c r="A668" t="s">
        <v>693</v>
      </c>
      <c r="B668" s="1">
        <v>45326</v>
      </c>
      <c r="C668" t="s">
        <v>11</v>
      </c>
      <c r="D668" t="s">
        <v>12</v>
      </c>
      <c r="E668" t="s">
        <v>23</v>
      </c>
      <c r="F668" t="s">
        <v>40</v>
      </c>
      <c r="G668" s="2">
        <v>132895</v>
      </c>
      <c r="H668">
        <v>3</v>
      </c>
      <c r="I668" s="3">
        <v>0</v>
      </c>
      <c r="J668" s="2">
        <v>32690.85</v>
      </c>
    </row>
    <row r="669" spans="1:10" x14ac:dyDescent="0.35">
      <c r="A669" t="s">
        <v>694</v>
      </c>
      <c r="B669" s="1">
        <v>45346</v>
      </c>
      <c r="C669" t="s">
        <v>16</v>
      </c>
      <c r="D669" t="s">
        <v>28</v>
      </c>
      <c r="E669" t="s">
        <v>13</v>
      </c>
      <c r="F669" t="s">
        <v>19</v>
      </c>
      <c r="G669" s="2">
        <v>82769</v>
      </c>
      <c r="H669">
        <v>1</v>
      </c>
      <c r="I669" s="3">
        <v>0</v>
      </c>
      <c r="J669" s="2">
        <v>16743.89</v>
      </c>
    </row>
    <row r="670" spans="1:10" x14ac:dyDescent="0.35">
      <c r="A670" t="s">
        <v>695</v>
      </c>
      <c r="B670" s="1">
        <v>45327</v>
      </c>
      <c r="C670" t="s">
        <v>16</v>
      </c>
      <c r="D670" t="s">
        <v>28</v>
      </c>
      <c r="E670" t="s">
        <v>23</v>
      </c>
      <c r="F670" t="s">
        <v>40</v>
      </c>
      <c r="G670" s="2">
        <v>139384</v>
      </c>
      <c r="H670">
        <v>1</v>
      </c>
      <c r="I670" s="3">
        <v>0</v>
      </c>
      <c r="J670" s="2">
        <v>9271.44</v>
      </c>
    </row>
    <row r="671" spans="1:10" x14ac:dyDescent="0.35">
      <c r="A671" t="s">
        <v>696</v>
      </c>
      <c r="B671" s="1">
        <v>45553</v>
      </c>
      <c r="C671" t="s">
        <v>16</v>
      </c>
      <c r="D671" t="s">
        <v>12</v>
      </c>
      <c r="E671" t="s">
        <v>18</v>
      </c>
      <c r="F671" t="s">
        <v>24</v>
      </c>
      <c r="G671" s="2">
        <v>93187</v>
      </c>
      <c r="H671">
        <v>5</v>
      </c>
      <c r="I671" s="3">
        <v>0</v>
      </c>
      <c r="J671" s="2">
        <v>17960.150000000001</v>
      </c>
    </row>
    <row r="672" spans="1:10" x14ac:dyDescent="0.35">
      <c r="A672" t="s">
        <v>697</v>
      </c>
      <c r="B672" s="1">
        <v>45440</v>
      </c>
      <c r="C672" t="s">
        <v>16</v>
      </c>
      <c r="D672" t="s">
        <v>22</v>
      </c>
      <c r="E672" t="s">
        <v>23</v>
      </c>
      <c r="F672" t="s">
        <v>24</v>
      </c>
      <c r="G672" s="2">
        <v>66704</v>
      </c>
      <c r="H672">
        <v>4</v>
      </c>
      <c r="I672" s="3">
        <v>0.1</v>
      </c>
      <c r="J672" s="2">
        <v>7203.85</v>
      </c>
    </row>
    <row r="673" spans="1:10" x14ac:dyDescent="0.35">
      <c r="A673" t="s">
        <v>698</v>
      </c>
      <c r="B673" s="1">
        <v>45524</v>
      </c>
      <c r="C673" t="s">
        <v>11</v>
      </c>
      <c r="D673" t="s">
        <v>12</v>
      </c>
      <c r="E673" t="s">
        <v>18</v>
      </c>
      <c r="F673" t="s">
        <v>26</v>
      </c>
      <c r="G673" s="2">
        <v>72551</v>
      </c>
      <c r="H673">
        <v>7</v>
      </c>
      <c r="I673" s="3">
        <v>0.05</v>
      </c>
      <c r="J673" s="2">
        <v>3384.35</v>
      </c>
    </row>
    <row r="674" spans="1:10" x14ac:dyDescent="0.35">
      <c r="A674" t="s">
        <v>699</v>
      </c>
      <c r="B674" s="1">
        <v>45369</v>
      </c>
      <c r="C674" t="s">
        <v>21</v>
      </c>
      <c r="D674" t="s">
        <v>28</v>
      </c>
      <c r="E674" t="s">
        <v>18</v>
      </c>
      <c r="F674" t="s">
        <v>19</v>
      </c>
      <c r="G674" s="2">
        <v>100699</v>
      </c>
      <c r="H674">
        <v>2</v>
      </c>
      <c r="I674" s="3">
        <v>0</v>
      </c>
      <c r="J674" s="2">
        <v>11862.19</v>
      </c>
    </row>
    <row r="675" spans="1:10" x14ac:dyDescent="0.35">
      <c r="A675" t="s">
        <v>700</v>
      </c>
      <c r="B675" s="1">
        <v>45475</v>
      </c>
      <c r="C675" t="s">
        <v>11</v>
      </c>
      <c r="D675" t="s">
        <v>28</v>
      </c>
      <c r="E675" t="s">
        <v>23</v>
      </c>
      <c r="F675" t="s">
        <v>24</v>
      </c>
      <c r="G675" s="2">
        <v>25529</v>
      </c>
      <c r="H675">
        <v>7</v>
      </c>
      <c r="I675" s="3">
        <v>0.15</v>
      </c>
      <c r="J675" s="2">
        <v>-1518.4</v>
      </c>
    </row>
    <row r="676" spans="1:10" x14ac:dyDescent="0.35">
      <c r="A676" t="s">
        <v>701</v>
      </c>
      <c r="B676" s="1">
        <v>45465</v>
      </c>
      <c r="C676" t="s">
        <v>11</v>
      </c>
      <c r="D676" t="s">
        <v>17</v>
      </c>
      <c r="E676" t="s">
        <v>18</v>
      </c>
      <c r="F676" t="s">
        <v>33</v>
      </c>
      <c r="G676" s="2">
        <v>56668</v>
      </c>
      <c r="H676">
        <v>2</v>
      </c>
      <c r="I676" s="3">
        <v>0.05</v>
      </c>
      <c r="J676" s="2">
        <v>8530</v>
      </c>
    </row>
    <row r="677" spans="1:10" x14ac:dyDescent="0.35">
      <c r="A677" t="s">
        <v>702</v>
      </c>
      <c r="B677" s="1">
        <v>45600</v>
      </c>
      <c r="C677" t="s">
        <v>16</v>
      </c>
      <c r="D677" t="s">
        <v>12</v>
      </c>
      <c r="E677" t="s">
        <v>23</v>
      </c>
      <c r="F677" t="s">
        <v>40</v>
      </c>
      <c r="G677" s="2">
        <v>38416</v>
      </c>
      <c r="H677">
        <v>7</v>
      </c>
      <c r="I677" s="3">
        <v>0</v>
      </c>
      <c r="J677" s="2">
        <v>8842.23</v>
      </c>
    </row>
    <row r="678" spans="1:10" x14ac:dyDescent="0.35">
      <c r="A678" t="s">
        <v>703</v>
      </c>
      <c r="B678" s="1">
        <v>45584</v>
      </c>
      <c r="C678" t="s">
        <v>16</v>
      </c>
      <c r="D678" t="s">
        <v>17</v>
      </c>
      <c r="E678" t="s">
        <v>13</v>
      </c>
      <c r="F678" t="s">
        <v>24</v>
      </c>
      <c r="G678" s="2">
        <v>75447</v>
      </c>
      <c r="H678">
        <v>6</v>
      </c>
      <c r="I678" s="3">
        <v>0</v>
      </c>
      <c r="J678" s="2">
        <v>14547.93</v>
      </c>
    </row>
    <row r="679" spans="1:10" x14ac:dyDescent="0.35">
      <c r="A679" t="s">
        <v>704</v>
      </c>
      <c r="B679" s="1">
        <v>45379</v>
      </c>
      <c r="C679" t="s">
        <v>21</v>
      </c>
      <c r="D679" t="s">
        <v>17</v>
      </c>
      <c r="E679" t="s">
        <v>13</v>
      </c>
      <c r="F679" t="s">
        <v>33</v>
      </c>
      <c r="G679" s="2">
        <v>142894</v>
      </c>
      <c r="H679">
        <v>7</v>
      </c>
      <c r="I679" s="3">
        <v>0.15</v>
      </c>
      <c r="J679" s="2">
        <v>-5850.28</v>
      </c>
    </row>
    <row r="680" spans="1:10" x14ac:dyDescent="0.35">
      <c r="A680" t="s">
        <v>705</v>
      </c>
      <c r="B680" s="1">
        <v>45521</v>
      </c>
      <c r="C680" t="s">
        <v>16</v>
      </c>
      <c r="D680" t="s">
        <v>12</v>
      </c>
      <c r="E680" t="s">
        <v>18</v>
      </c>
      <c r="F680" t="s">
        <v>26</v>
      </c>
      <c r="G680" s="2">
        <v>91267</v>
      </c>
      <c r="H680">
        <v>3</v>
      </c>
      <c r="I680" s="3">
        <v>0.1</v>
      </c>
      <c r="J680" s="2">
        <v>-3157.09</v>
      </c>
    </row>
    <row r="681" spans="1:10" x14ac:dyDescent="0.35">
      <c r="A681" t="s">
        <v>706</v>
      </c>
      <c r="B681" s="1">
        <v>45399</v>
      </c>
      <c r="C681" t="s">
        <v>21</v>
      </c>
      <c r="D681" t="s">
        <v>22</v>
      </c>
      <c r="E681" t="s">
        <v>23</v>
      </c>
      <c r="F681" t="s">
        <v>24</v>
      </c>
      <c r="G681" s="2">
        <v>66250</v>
      </c>
      <c r="H681">
        <v>8</v>
      </c>
      <c r="I681" s="3">
        <v>0.05</v>
      </c>
      <c r="J681" s="2">
        <v>1148.3399999999999</v>
      </c>
    </row>
    <row r="682" spans="1:10" x14ac:dyDescent="0.35">
      <c r="A682" t="s">
        <v>707</v>
      </c>
      <c r="B682" s="1">
        <v>45628</v>
      </c>
      <c r="C682" t="s">
        <v>21</v>
      </c>
      <c r="D682" t="s">
        <v>12</v>
      </c>
      <c r="E682" t="s">
        <v>18</v>
      </c>
      <c r="F682" t="s">
        <v>31</v>
      </c>
      <c r="G682" s="2">
        <v>92366</v>
      </c>
      <c r="H682">
        <v>10</v>
      </c>
      <c r="I682" s="3">
        <v>0.15</v>
      </c>
      <c r="J682" s="2">
        <v>7996.15</v>
      </c>
    </row>
    <row r="683" spans="1:10" x14ac:dyDescent="0.35">
      <c r="A683" t="s">
        <v>708</v>
      </c>
      <c r="B683" s="1">
        <v>45334</v>
      </c>
      <c r="C683" t="s">
        <v>16</v>
      </c>
      <c r="D683" t="s">
        <v>28</v>
      </c>
      <c r="E683" t="s">
        <v>18</v>
      </c>
      <c r="F683" t="s">
        <v>40</v>
      </c>
      <c r="G683" s="2">
        <v>83819</v>
      </c>
      <c r="H683">
        <v>9</v>
      </c>
      <c r="I683" s="3">
        <v>0.05</v>
      </c>
      <c r="J683" s="2">
        <v>8323.01</v>
      </c>
    </row>
    <row r="684" spans="1:10" x14ac:dyDescent="0.35">
      <c r="A684" t="s">
        <v>709</v>
      </c>
      <c r="B684" s="1">
        <v>45590</v>
      </c>
      <c r="C684" t="s">
        <v>11</v>
      </c>
      <c r="D684" t="s">
        <v>28</v>
      </c>
      <c r="E684" t="s">
        <v>13</v>
      </c>
      <c r="F684" t="s">
        <v>19</v>
      </c>
      <c r="G684" s="2">
        <v>95646</v>
      </c>
      <c r="H684">
        <v>5</v>
      </c>
      <c r="I684" s="3">
        <v>0.1</v>
      </c>
      <c r="J684" s="2">
        <v>7949.46</v>
      </c>
    </row>
    <row r="685" spans="1:10" x14ac:dyDescent="0.35">
      <c r="A685" t="s">
        <v>710</v>
      </c>
      <c r="B685" s="1">
        <v>45586</v>
      </c>
      <c r="C685" t="s">
        <v>11</v>
      </c>
      <c r="D685" t="s">
        <v>12</v>
      </c>
      <c r="E685" t="s">
        <v>13</v>
      </c>
      <c r="F685" t="s">
        <v>14</v>
      </c>
      <c r="G685" s="2">
        <v>10530</v>
      </c>
      <c r="H685">
        <v>3</v>
      </c>
      <c r="I685" s="3">
        <v>0.15</v>
      </c>
      <c r="J685" s="2">
        <v>984.44</v>
      </c>
    </row>
    <row r="686" spans="1:10" x14ac:dyDescent="0.35">
      <c r="A686" t="s">
        <v>711</v>
      </c>
      <c r="B686" s="1">
        <v>45464</v>
      </c>
      <c r="C686" t="s">
        <v>16</v>
      </c>
      <c r="D686" t="s">
        <v>12</v>
      </c>
      <c r="E686" t="s">
        <v>18</v>
      </c>
      <c r="F686" t="s">
        <v>26</v>
      </c>
      <c r="G686" s="2">
        <v>32538</v>
      </c>
      <c r="H686">
        <v>4</v>
      </c>
      <c r="I686" s="3">
        <v>0.1</v>
      </c>
      <c r="J686" s="2">
        <v>-776.59</v>
      </c>
    </row>
    <row r="687" spans="1:10" x14ac:dyDescent="0.35">
      <c r="A687" t="s">
        <v>712</v>
      </c>
      <c r="B687" s="1">
        <v>45344</v>
      </c>
      <c r="C687" t="s">
        <v>21</v>
      </c>
      <c r="D687" t="s">
        <v>22</v>
      </c>
      <c r="E687" t="s">
        <v>23</v>
      </c>
      <c r="F687" t="s">
        <v>24</v>
      </c>
      <c r="G687" s="2">
        <v>135057</v>
      </c>
      <c r="H687">
        <v>4</v>
      </c>
      <c r="I687" s="3">
        <v>0.1</v>
      </c>
      <c r="J687" s="2">
        <v>3367.9</v>
      </c>
    </row>
    <row r="688" spans="1:10" x14ac:dyDescent="0.35">
      <c r="A688" t="s">
        <v>713</v>
      </c>
      <c r="B688" s="1">
        <v>45507</v>
      </c>
      <c r="C688" t="s">
        <v>21</v>
      </c>
      <c r="D688" t="s">
        <v>17</v>
      </c>
      <c r="E688" t="s">
        <v>18</v>
      </c>
      <c r="F688" t="s">
        <v>24</v>
      </c>
      <c r="G688" s="2">
        <v>104369</v>
      </c>
      <c r="H688">
        <v>3</v>
      </c>
      <c r="I688" s="3">
        <v>0.05</v>
      </c>
      <c r="J688" s="2">
        <v>10501.69</v>
      </c>
    </row>
    <row r="689" spans="1:10" x14ac:dyDescent="0.35">
      <c r="A689" t="s">
        <v>714</v>
      </c>
      <c r="B689" s="1">
        <v>45461</v>
      </c>
      <c r="C689" t="s">
        <v>21</v>
      </c>
      <c r="D689" t="s">
        <v>22</v>
      </c>
      <c r="E689" t="s">
        <v>18</v>
      </c>
      <c r="F689" t="s">
        <v>40</v>
      </c>
      <c r="G689" s="2">
        <v>35015</v>
      </c>
      <c r="H689">
        <v>6</v>
      </c>
      <c r="I689" s="3">
        <v>0.05</v>
      </c>
      <c r="J689" s="2">
        <v>3753.66</v>
      </c>
    </row>
    <row r="690" spans="1:10" x14ac:dyDescent="0.35">
      <c r="A690" t="s">
        <v>715</v>
      </c>
      <c r="B690" s="1">
        <v>45482</v>
      </c>
      <c r="C690" t="s">
        <v>21</v>
      </c>
      <c r="D690" t="s">
        <v>22</v>
      </c>
      <c r="E690" t="s">
        <v>18</v>
      </c>
      <c r="F690" t="s">
        <v>19</v>
      </c>
      <c r="G690" s="2">
        <v>62302</v>
      </c>
      <c r="H690">
        <v>8</v>
      </c>
      <c r="I690" s="3">
        <v>0.15</v>
      </c>
      <c r="J690" s="2">
        <v>-5895.68</v>
      </c>
    </row>
    <row r="691" spans="1:10" x14ac:dyDescent="0.35">
      <c r="A691" t="s">
        <v>716</v>
      </c>
      <c r="B691" s="1">
        <v>45523</v>
      </c>
      <c r="C691" t="s">
        <v>11</v>
      </c>
      <c r="D691" t="s">
        <v>28</v>
      </c>
      <c r="E691" t="s">
        <v>23</v>
      </c>
      <c r="F691" t="s">
        <v>31</v>
      </c>
      <c r="G691" s="2">
        <v>98143</v>
      </c>
      <c r="H691">
        <v>6</v>
      </c>
      <c r="I691" s="3">
        <v>0.05</v>
      </c>
      <c r="J691" s="2">
        <v>11767.88</v>
      </c>
    </row>
    <row r="692" spans="1:10" x14ac:dyDescent="0.35">
      <c r="A692" t="s">
        <v>717</v>
      </c>
      <c r="B692" s="1">
        <v>45609</v>
      </c>
      <c r="C692" t="s">
        <v>16</v>
      </c>
      <c r="D692" t="s">
        <v>12</v>
      </c>
      <c r="E692" t="s">
        <v>23</v>
      </c>
      <c r="F692" t="s">
        <v>40</v>
      </c>
      <c r="G692" s="2">
        <v>30836</v>
      </c>
      <c r="H692">
        <v>8</v>
      </c>
      <c r="I692" s="3">
        <v>0</v>
      </c>
      <c r="J692" s="2">
        <v>2261.67</v>
      </c>
    </row>
    <row r="693" spans="1:10" x14ac:dyDescent="0.35">
      <c r="A693" t="s">
        <v>718</v>
      </c>
      <c r="B693" s="1">
        <v>45479</v>
      </c>
      <c r="C693" t="s">
        <v>16</v>
      </c>
      <c r="D693" t="s">
        <v>28</v>
      </c>
      <c r="E693" t="s">
        <v>23</v>
      </c>
      <c r="F693" t="s">
        <v>14</v>
      </c>
      <c r="G693" s="2">
        <v>27317</v>
      </c>
      <c r="H693">
        <v>4</v>
      </c>
      <c r="I693" s="3">
        <v>0.15</v>
      </c>
      <c r="J693" s="2">
        <v>-2643.8</v>
      </c>
    </row>
    <row r="694" spans="1:10" x14ac:dyDescent="0.35">
      <c r="A694" t="s">
        <v>719</v>
      </c>
      <c r="B694" s="1">
        <v>45388</v>
      </c>
      <c r="C694" t="s">
        <v>11</v>
      </c>
      <c r="D694" t="s">
        <v>28</v>
      </c>
      <c r="E694" t="s">
        <v>23</v>
      </c>
      <c r="F694" t="s">
        <v>14</v>
      </c>
      <c r="G694" s="2">
        <v>148695</v>
      </c>
      <c r="H694">
        <v>9</v>
      </c>
      <c r="I694" s="3">
        <v>0</v>
      </c>
      <c r="J694" s="2">
        <v>29103.26</v>
      </c>
    </row>
    <row r="695" spans="1:10" x14ac:dyDescent="0.35">
      <c r="A695" t="s">
        <v>720</v>
      </c>
      <c r="B695" s="1">
        <v>45508</v>
      </c>
      <c r="C695" t="s">
        <v>11</v>
      </c>
      <c r="D695" t="s">
        <v>22</v>
      </c>
      <c r="E695" t="s">
        <v>23</v>
      </c>
      <c r="F695" t="s">
        <v>26</v>
      </c>
      <c r="G695" s="2">
        <v>32600</v>
      </c>
      <c r="H695">
        <v>7</v>
      </c>
      <c r="I695" s="3">
        <v>0.15</v>
      </c>
      <c r="J695" s="2">
        <v>1166.76</v>
      </c>
    </row>
    <row r="696" spans="1:10" x14ac:dyDescent="0.35">
      <c r="A696" t="s">
        <v>721</v>
      </c>
      <c r="B696" s="1">
        <v>45525</v>
      </c>
      <c r="C696" t="s">
        <v>16</v>
      </c>
      <c r="D696" t="s">
        <v>22</v>
      </c>
      <c r="E696" t="s">
        <v>13</v>
      </c>
      <c r="F696" t="s">
        <v>19</v>
      </c>
      <c r="G696" s="2">
        <v>69896</v>
      </c>
      <c r="H696">
        <v>4</v>
      </c>
      <c r="I696" s="3">
        <v>0.15</v>
      </c>
      <c r="J696" s="2">
        <v>4187.59</v>
      </c>
    </row>
    <row r="697" spans="1:10" x14ac:dyDescent="0.35">
      <c r="A697" t="s">
        <v>722</v>
      </c>
      <c r="B697" s="1">
        <v>45437</v>
      </c>
      <c r="C697" t="s">
        <v>11</v>
      </c>
      <c r="D697" t="s">
        <v>12</v>
      </c>
      <c r="E697" t="s">
        <v>23</v>
      </c>
      <c r="F697" t="s">
        <v>14</v>
      </c>
      <c r="G697" s="2">
        <v>77208</v>
      </c>
      <c r="H697">
        <v>10</v>
      </c>
      <c r="I697" s="3">
        <v>0.15</v>
      </c>
      <c r="J697" s="2">
        <v>-276.05</v>
      </c>
    </row>
    <row r="698" spans="1:10" x14ac:dyDescent="0.35">
      <c r="A698" t="s">
        <v>723</v>
      </c>
      <c r="B698" s="1">
        <v>45615</v>
      </c>
      <c r="C698" t="s">
        <v>11</v>
      </c>
      <c r="D698" t="s">
        <v>22</v>
      </c>
      <c r="E698" t="s">
        <v>18</v>
      </c>
      <c r="F698" t="s">
        <v>14</v>
      </c>
      <c r="G698" s="2">
        <v>125120</v>
      </c>
      <c r="H698">
        <v>5</v>
      </c>
      <c r="I698" s="3">
        <v>0.05</v>
      </c>
      <c r="J698" s="2">
        <v>9368.16</v>
      </c>
    </row>
    <row r="699" spans="1:10" x14ac:dyDescent="0.35">
      <c r="A699" t="s">
        <v>724</v>
      </c>
      <c r="B699" s="1">
        <v>45492</v>
      </c>
      <c r="C699" t="s">
        <v>21</v>
      </c>
      <c r="D699" t="s">
        <v>17</v>
      </c>
      <c r="E699" t="s">
        <v>18</v>
      </c>
      <c r="F699" t="s">
        <v>14</v>
      </c>
      <c r="G699" s="2">
        <v>27314</v>
      </c>
      <c r="H699">
        <v>5</v>
      </c>
      <c r="I699" s="3">
        <v>0</v>
      </c>
      <c r="J699" s="2">
        <v>3119.25</v>
      </c>
    </row>
    <row r="700" spans="1:10" x14ac:dyDescent="0.35">
      <c r="A700" t="s">
        <v>725</v>
      </c>
      <c r="B700" s="1">
        <v>45369</v>
      </c>
      <c r="C700" t="s">
        <v>21</v>
      </c>
      <c r="D700" t="s">
        <v>17</v>
      </c>
      <c r="E700" t="s">
        <v>13</v>
      </c>
      <c r="F700" t="s">
        <v>31</v>
      </c>
      <c r="G700" s="2">
        <v>73790</v>
      </c>
      <c r="H700">
        <v>4</v>
      </c>
      <c r="I700" s="3">
        <v>0.1</v>
      </c>
      <c r="J700" s="2">
        <v>2060.19</v>
      </c>
    </row>
    <row r="701" spans="1:10" x14ac:dyDescent="0.35">
      <c r="A701" t="s">
        <v>726</v>
      </c>
      <c r="B701" s="1">
        <v>45515</v>
      </c>
      <c r="C701" t="s">
        <v>16</v>
      </c>
      <c r="D701" t="s">
        <v>12</v>
      </c>
      <c r="E701" t="s">
        <v>18</v>
      </c>
      <c r="F701" t="s">
        <v>24</v>
      </c>
      <c r="G701" s="2">
        <v>63699</v>
      </c>
      <c r="H701">
        <v>9</v>
      </c>
      <c r="I701" s="3">
        <v>0.1</v>
      </c>
      <c r="J701" s="2">
        <v>5786.8</v>
      </c>
    </row>
    <row r="702" spans="1:10" x14ac:dyDescent="0.35">
      <c r="A702" t="s">
        <v>727</v>
      </c>
      <c r="B702" s="1">
        <v>45375</v>
      </c>
      <c r="C702" t="s">
        <v>11</v>
      </c>
      <c r="D702" t="s">
        <v>12</v>
      </c>
      <c r="E702" t="s">
        <v>23</v>
      </c>
      <c r="F702" t="s">
        <v>19</v>
      </c>
      <c r="G702" s="2">
        <v>50136</v>
      </c>
      <c r="H702">
        <v>6</v>
      </c>
      <c r="I702" s="3">
        <v>0</v>
      </c>
      <c r="J702" s="2">
        <v>3937.38</v>
      </c>
    </row>
    <row r="703" spans="1:10" x14ac:dyDescent="0.35">
      <c r="A703" t="s">
        <v>728</v>
      </c>
      <c r="B703" s="1">
        <v>45417</v>
      </c>
      <c r="C703" t="s">
        <v>21</v>
      </c>
      <c r="D703" t="s">
        <v>12</v>
      </c>
      <c r="E703" t="s">
        <v>23</v>
      </c>
      <c r="F703" t="s">
        <v>33</v>
      </c>
      <c r="G703" s="2">
        <v>88176</v>
      </c>
      <c r="H703">
        <v>1</v>
      </c>
      <c r="I703" s="3">
        <v>0.15</v>
      </c>
      <c r="J703" s="2">
        <v>7044.27</v>
      </c>
    </row>
    <row r="704" spans="1:10" x14ac:dyDescent="0.35">
      <c r="A704" t="s">
        <v>729</v>
      </c>
      <c r="B704" s="1">
        <v>45645</v>
      </c>
      <c r="C704" t="s">
        <v>21</v>
      </c>
      <c r="D704" t="s">
        <v>22</v>
      </c>
      <c r="E704" t="s">
        <v>13</v>
      </c>
      <c r="F704" t="s">
        <v>14</v>
      </c>
      <c r="G704" s="2">
        <v>81525</v>
      </c>
      <c r="H704">
        <v>6</v>
      </c>
      <c r="I704" s="3">
        <v>0</v>
      </c>
      <c r="J704" s="2">
        <v>17488.560000000001</v>
      </c>
    </row>
    <row r="705" spans="1:10" x14ac:dyDescent="0.35">
      <c r="A705" t="s">
        <v>730</v>
      </c>
      <c r="B705" s="1">
        <v>45437</v>
      </c>
      <c r="C705" t="s">
        <v>11</v>
      </c>
      <c r="D705" t="s">
        <v>12</v>
      </c>
      <c r="E705" t="s">
        <v>23</v>
      </c>
      <c r="F705" t="s">
        <v>26</v>
      </c>
      <c r="G705" s="2">
        <v>37807</v>
      </c>
      <c r="H705">
        <v>10</v>
      </c>
      <c r="I705" s="3">
        <v>0.1</v>
      </c>
      <c r="J705" s="2">
        <v>659.49</v>
      </c>
    </row>
    <row r="706" spans="1:10" x14ac:dyDescent="0.35">
      <c r="A706" t="s">
        <v>731</v>
      </c>
      <c r="B706" s="1">
        <v>45593</v>
      </c>
      <c r="C706" t="s">
        <v>21</v>
      </c>
      <c r="D706" t="s">
        <v>17</v>
      </c>
      <c r="E706" t="s">
        <v>18</v>
      </c>
      <c r="F706" t="s">
        <v>40</v>
      </c>
      <c r="G706" s="2">
        <v>28124</v>
      </c>
      <c r="H706">
        <v>3</v>
      </c>
      <c r="I706" s="3">
        <v>0</v>
      </c>
      <c r="J706" s="2">
        <v>2625.31</v>
      </c>
    </row>
    <row r="707" spans="1:10" x14ac:dyDescent="0.35">
      <c r="A707" t="s">
        <v>732</v>
      </c>
      <c r="B707" s="1">
        <v>45378</v>
      </c>
      <c r="C707" t="s">
        <v>16</v>
      </c>
      <c r="D707" t="s">
        <v>22</v>
      </c>
      <c r="E707" t="s">
        <v>13</v>
      </c>
      <c r="F707" t="s">
        <v>14</v>
      </c>
      <c r="G707" s="2">
        <v>130030</v>
      </c>
      <c r="H707">
        <v>6</v>
      </c>
      <c r="I707" s="3">
        <v>0.05</v>
      </c>
      <c r="J707" s="2">
        <v>9844.01</v>
      </c>
    </row>
    <row r="708" spans="1:10" x14ac:dyDescent="0.35">
      <c r="A708" t="s">
        <v>733</v>
      </c>
      <c r="B708" s="1">
        <v>45610</v>
      </c>
      <c r="C708" t="s">
        <v>16</v>
      </c>
      <c r="D708" t="s">
        <v>12</v>
      </c>
      <c r="E708" t="s">
        <v>13</v>
      </c>
      <c r="F708" t="s">
        <v>24</v>
      </c>
      <c r="G708" s="2">
        <v>26611</v>
      </c>
      <c r="H708">
        <v>6</v>
      </c>
      <c r="I708" s="3">
        <v>0.15</v>
      </c>
      <c r="J708" s="2">
        <v>1837.64</v>
      </c>
    </row>
    <row r="709" spans="1:10" x14ac:dyDescent="0.35">
      <c r="A709" t="s">
        <v>734</v>
      </c>
      <c r="B709" s="1">
        <v>45398</v>
      </c>
      <c r="C709" t="s">
        <v>16</v>
      </c>
      <c r="D709" t="s">
        <v>17</v>
      </c>
      <c r="E709" t="s">
        <v>18</v>
      </c>
      <c r="F709" t="s">
        <v>31</v>
      </c>
      <c r="G709" s="2">
        <v>145474</v>
      </c>
      <c r="H709">
        <v>10</v>
      </c>
      <c r="I709" s="3">
        <v>0</v>
      </c>
      <c r="J709" s="2">
        <v>25375.42</v>
      </c>
    </row>
    <row r="710" spans="1:10" x14ac:dyDescent="0.35">
      <c r="A710" t="s">
        <v>735</v>
      </c>
      <c r="B710" s="1">
        <v>45462</v>
      </c>
      <c r="C710" t="s">
        <v>16</v>
      </c>
      <c r="D710" t="s">
        <v>12</v>
      </c>
      <c r="E710" t="s">
        <v>18</v>
      </c>
      <c r="F710" t="s">
        <v>26</v>
      </c>
      <c r="G710" s="2">
        <v>102323</v>
      </c>
      <c r="H710">
        <v>2</v>
      </c>
      <c r="I710" s="3">
        <v>0</v>
      </c>
      <c r="J710" s="2">
        <v>12375.76</v>
      </c>
    </row>
    <row r="711" spans="1:10" x14ac:dyDescent="0.35">
      <c r="A711" t="s">
        <v>736</v>
      </c>
      <c r="B711" s="1">
        <v>45516</v>
      </c>
      <c r="C711" t="s">
        <v>11</v>
      </c>
      <c r="D711" t="s">
        <v>22</v>
      </c>
      <c r="E711" t="s">
        <v>23</v>
      </c>
      <c r="F711" t="s">
        <v>31</v>
      </c>
      <c r="G711" s="2">
        <v>51885</v>
      </c>
      <c r="H711">
        <v>7</v>
      </c>
      <c r="I711" s="3">
        <v>0</v>
      </c>
      <c r="J711" s="2">
        <v>12851.04</v>
      </c>
    </row>
    <row r="712" spans="1:10" x14ac:dyDescent="0.35">
      <c r="A712" t="s">
        <v>737</v>
      </c>
      <c r="B712" s="1">
        <v>45574</v>
      </c>
      <c r="C712" t="s">
        <v>16</v>
      </c>
      <c r="D712" t="s">
        <v>22</v>
      </c>
      <c r="E712" t="s">
        <v>23</v>
      </c>
      <c r="F712" t="s">
        <v>19</v>
      </c>
      <c r="G712" s="2">
        <v>121141</v>
      </c>
      <c r="H712">
        <v>2</v>
      </c>
      <c r="I712" s="3">
        <v>0.1</v>
      </c>
      <c r="J712" s="2">
        <v>8391.3700000000008</v>
      </c>
    </row>
    <row r="713" spans="1:10" x14ac:dyDescent="0.35">
      <c r="A713" t="s">
        <v>738</v>
      </c>
      <c r="B713" s="1">
        <v>45345</v>
      </c>
      <c r="C713" t="s">
        <v>21</v>
      </c>
      <c r="D713" t="s">
        <v>28</v>
      </c>
      <c r="E713" t="s">
        <v>23</v>
      </c>
      <c r="F713" t="s">
        <v>14</v>
      </c>
      <c r="G713" s="2">
        <v>145532</v>
      </c>
      <c r="H713">
        <v>9</v>
      </c>
      <c r="I713" s="3">
        <v>0</v>
      </c>
      <c r="J713" s="2">
        <v>35431.49</v>
      </c>
    </row>
    <row r="714" spans="1:10" x14ac:dyDescent="0.35">
      <c r="A714" t="s">
        <v>739</v>
      </c>
      <c r="B714" s="1">
        <v>45627</v>
      </c>
      <c r="C714" t="s">
        <v>11</v>
      </c>
      <c r="D714" t="s">
        <v>22</v>
      </c>
      <c r="E714" t="s">
        <v>13</v>
      </c>
      <c r="F714" t="s">
        <v>40</v>
      </c>
      <c r="G714" s="2">
        <v>129658</v>
      </c>
      <c r="H714">
        <v>3</v>
      </c>
      <c r="I714" s="3">
        <v>0.05</v>
      </c>
      <c r="J714" s="2">
        <v>12371.85</v>
      </c>
    </row>
    <row r="715" spans="1:10" x14ac:dyDescent="0.35">
      <c r="A715" t="s">
        <v>740</v>
      </c>
      <c r="B715" s="1">
        <v>45512</v>
      </c>
      <c r="C715" t="s">
        <v>16</v>
      </c>
      <c r="D715" t="s">
        <v>12</v>
      </c>
      <c r="E715" t="s">
        <v>23</v>
      </c>
      <c r="F715" t="s">
        <v>40</v>
      </c>
      <c r="G715" s="2">
        <v>7711</v>
      </c>
      <c r="H715">
        <v>7</v>
      </c>
      <c r="I715" s="3">
        <v>0.1</v>
      </c>
      <c r="J715" s="2">
        <v>-210.65</v>
      </c>
    </row>
    <row r="716" spans="1:10" x14ac:dyDescent="0.35">
      <c r="A716" t="s">
        <v>741</v>
      </c>
      <c r="B716" s="1">
        <v>45354</v>
      </c>
      <c r="C716" t="s">
        <v>21</v>
      </c>
      <c r="D716" t="s">
        <v>22</v>
      </c>
      <c r="E716" t="s">
        <v>23</v>
      </c>
      <c r="F716" t="s">
        <v>26</v>
      </c>
      <c r="G716" s="2">
        <v>141497</v>
      </c>
      <c r="H716">
        <v>8</v>
      </c>
      <c r="I716" s="3">
        <v>0</v>
      </c>
      <c r="J716" s="2">
        <v>22366.25</v>
      </c>
    </row>
    <row r="717" spans="1:10" x14ac:dyDescent="0.35">
      <c r="A717" t="s">
        <v>742</v>
      </c>
      <c r="B717" s="1">
        <v>45623</v>
      </c>
      <c r="C717" t="s">
        <v>21</v>
      </c>
      <c r="D717" t="s">
        <v>28</v>
      </c>
      <c r="E717" t="s">
        <v>23</v>
      </c>
      <c r="F717" t="s">
        <v>24</v>
      </c>
      <c r="G717" s="2">
        <v>39217</v>
      </c>
      <c r="H717">
        <v>10</v>
      </c>
      <c r="I717" s="3">
        <v>0.15</v>
      </c>
      <c r="J717" s="2">
        <v>1815.86</v>
      </c>
    </row>
    <row r="718" spans="1:10" x14ac:dyDescent="0.35">
      <c r="A718" t="s">
        <v>743</v>
      </c>
      <c r="B718" s="1">
        <v>45363</v>
      </c>
      <c r="C718" t="s">
        <v>11</v>
      </c>
      <c r="D718" t="s">
        <v>17</v>
      </c>
      <c r="E718" t="s">
        <v>18</v>
      </c>
      <c r="F718" t="s">
        <v>26</v>
      </c>
      <c r="G718" s="2">
        <v>90524</v>
      </c>
      <c r="H718">
        <v>8</v>
      </c>
      <c r="I718" s="3">
        <v>0.1</v>
      </c>
      <c r="J718" s="2">
        <v>4400.7</v>
      </c>
    </row>
    <row r="719" spans="1:10" x14ac:dyDescent="0.35">
      <c r="A719" t="s">
        <v>744</v>
      </c>
      <c r="B719" s="1">
        <v>45400</v>
      </c>
      <c r="C719" t="s">
        <v>11</v>
      </c>
      <c r="D719" t="s">
        <v>22</v>
      </c>
      <c r="E719" t="s">
        <v>23</v>
      </c>
      <c r="F719" t="s">
        <v>24</v>
      </c>
      <c r="G719" s="2">
        <v>103601</v>
      </c>
      <c r="H719">
        <v>6</v>
      </c>
      <c r="I719" s="3">
        <v>0.05</v>
      </c>
      <c r="J719" s="2">
        <v>12042.02</v>
      </c>
    </row>
    <row r="720" spans="1:10" x14ac:dyDescent="0.35">
      <c r="A720" t="s">
        <v>745</v>
      </c>
      <c r="B720" s="1">
        <v>45530</v>
      </c>
      <c r="C720" t="s">
        <v>16</v>
      </c>
      <c r="D720" t="s">
        <v>17</v>
      </c>
      <c r="E720" t="s">
        <v>23</v>
      </c>
      <c r="F720" t="s">
        <v>31</v>
      </c>
      <c r="G720" s="2">
        <v>62043</v>
      </c>
      <c r="H720">
        <v>4</v>
      </c>
      <c r="I720" s="3">
        <v>0.15</v>
      </c>
      <c r="J720" s="2">
        <v>-620.80999999999995</v>
      </c>
    </row>
    <row r="721" spans="1:10" x14ac:dyDescent="0.35">
      <c r="A721" t="s">
        <v>746</v>
      </c>
      <c r="B721" s="1">
        <v>45463</v>
      </c>
      <c r="C721" t="s">
        <v>11</v>
      </c>
      <c r="D721" t="s">
        <v>28</v>
      </c>
      <c r="E721" t="s">
        <v>13</v>
      </c>
      <c r="F721" t="s">
        <v>33</v>
      </c>
      <c r="G721" s="2">
        <v>48962</v>
      </c>
      <c r="H721">
        <v>10</v>
      </c>
      <c r="I721" s="3">
        <v>0.05</v>
      </c>
      <c r="J721" s="2">
        <v>9517.5</v>
      </c>
    </row>
    <row r="722" spans="1:10" x14ac:dyDescent="0.35">
      <c r="A722" t="s">
        <v>747</v>
      </c>
      <c r="B722" s="1">
        <v>45619</v>
      </c>
      <c r="C722" t="s">
        <v>11</v>
      </c>
      <c r="D722" t="s">
        <v>28</v>
      </c>
      <c r="E722" t="s">
        <v>18</v>
      </c>
      <c r="F722" t="s">
        <v>31</v>
      </c>
      <c r="G722" s="2">
        <v>46533</v>
      </c>
      <c r="H722">
        <v>3</v>
      </c>
      <c r="I722" s="3">
        <v>0.15</v>
      </c>
      <c r="J722" s="2">
        <v>1789.51</v>
      </c>
    </row>
    <row r="723" spans="1:10" x14ac:dyDescent="0.35">
      <c r="A723" t="s">
        <v>748</v>
      </c>
      <c r="B723" s="1">
        <v>45646</v>
      </c>
      <c r="C723" t="s">
        <v>11</v>
      </c>
      <c r="D723" t="s">
        <v>22</v>
      </c>
      <c r="E723" t="s">
        <v>18</v>
      </c>
      <c r="F723" t="s">
        <v>26</v>
      </c>
      <c r="G723" s="2">
        <v>53562</v>
      </c>
      <c r="H723">
        <v>1</v>
      </c>
      <c r="I723" s="3">
        <v>0</v>
      </c>
      <c r="J723" s="2">
        <v>5730.82</v>
      </c>
    </row>
    <row r="724" spans="1:10" x14ac:dyDescent="0.35">
      <c r="A724" t="s">
        <v>749</v>
      </c>
      <c r="B724" s="1">
        <v>45369</v>
      </c>
      <c r="C724" t="s">
        <v>16</v>
      </c>
      <c r="D724" t="s">
        <v>17</v>
      </c>
      <c r="E724" t="s">
        <v>18</v>
      </c>
      <c r="F724" t="s">
        <v>31</v>
      </c>
      <c r="G724" s="2">
        <v>42606</v>
      </c>
      <c r="H724">
        <v>3</v>
      </c>
      <c r="I724" s="3">
        <v>0.1</v>
      </c>
      <c r="J724" s="2">
        <v>-996.64</v>
      </c>
    </row>
    <row r="725" spans="1:10" x14ac:dyDescent="0.35">
      <c r="A725" t="s">
        <v>750</v>
      </c>
      <c r="B725" s="1">
        <v>45580</v>
      </c>
      <c r="C725" t="s">
        <v>16</v>
      </c>
      <c r="D725" t="s">
        <v>12</v>
      </c>
      <c r="E725" t="s">
        <v>13</v>
      </c>
      <c r="F725" t="s">
        <v>33</v>
      </c>
      <c r="G725" s="2">
        <v>45227</v>
      </c>
      <c r="H725">
        <v>4</v>
      </c>
      <c r="I725" s="3">
        <v>0.1</v>
      </c>
      <c r="J725" s="2">
        <v>2142.2399999999998</v>
      </c>
    </row>
    <row r="726" spans="1:10" x14ac:dyDescent="0.35">
      <c r="A726" t="s">
        <v>751</v>
      </c>
      <c r="B726" s="1">
        <v>45331</v>
      </c>
      <c r="C726" t="s">
        <v>16</v>
      </c>
      <c r="D726" t="s">
        <v>22</v>
      </c>
      <c r="E726" t="s">
        <v>18</v>
      </c>
      <c r="F726" t="s">
        <v>33</v>
      </c>
      <c r="G726" s="2">
        <v>81491</v>
      </c>
      <c r="H726">
        <v>3</v>
      </c>
      <c r="I726" s="3">
        <v>0.15</v>
      </c>
      <c r="J726" s="2">
        <v>-3992.43</v>
      </c>
    </row>
    <row r="727" spans="1:10" x14ac:dyDescent="0.35">
      <c r="A727" t="s">
        <v>752</v>
      </c>
      <c r="B727" s="1">
        <v>45598</v>
      </c>
      <c r="C727" t="s">
        <v>11</v>
      </c>
      <c r="D727" t="s">
        <v>22</v>
      </c>
      <c r="E727" t="s">
        <v>23</v>
      </c>
      <c r="F727" t="s">
        <v>19</v>
      </c>
      <c r="G727" s="2">
        <v>87578</v>
      </c>
      <c r="H727">
        <v>3</v>
      </c>
      <c r="I727" s="3">
        <v>0.1</v>
      </c>
      <c r="J727" s="2">
        <v>-175.26</v>
      </c>
    </row>
    <row r="728" spans="1:10" x14ac:dyDescent="0.35">
      <c r="A728" t="s">
        <v>753</v>
      </c>
      <c r="B728" s="1">
        <v>45395</v>
      </c>
      <c r="C728" t="s">
        <v>11</v>
      </c>
      <c r="D728" t="s">
        <v>28</v>
      </c>
      <c r="E728" t="s">
        <v>13</v>
      </c>
      <c r="F728" t="s">
        <v>31</v>
      </c>
      <c r="G728" s="2">
        <v>106698</v>
      </c>
      <c r="H728">
        <v>5</v>
      </c>
      <c r="I728" s="3">
        <v>0.05</v>
      </c>
      <c r="J728" s="2">
        <v>4420.29</v>
      </c>
    </row>
    <row r="729" spans="1:10" x14ac:dyDescent="0.35">
      <c r="A729" t="s">
        <v>754</v>
      </c>
      <c r="B729" s="1">
        <v>45457</v>
      </c>
      <c r="C729" t="s">
        <v>21</v>
      </c>
      <c r="D729" t="s">
        <v>28</v>
      </c>
      <c r="E729" t="s">
        <v>23</v>
      </c>
      <c r="F729" t="s">
        <v>19</v>
      </c>
      <c r="G729" s="2">
        <v>22190</v>
      </c>
      <c r="H729">
        <v>2</v>
      </c>
      <c r="I729" s="3">
        <v>0.15</v>
      </c>
      <c r="J729" s="2">
        <v>-267.43</v>
      </c>
    </row>
    <row r="730" spans="1:10" x14ac:dyDescent="0.35">
      <c r="A730" t="s">
        <v>755</v>
      </c>
      <c r="B730" s="1">
        <v>45459</v>
      </c>
      <c r="C730" t="s">
        <v>21</v>
      </c>
      <c r="D730" t="s">
        <v>17</v>
      </c>
      <c r="E730" t="s">
        <v>13</v>
      </c>
      <c r="F730" t="s">
        <v>40</v>
      </c>
      <c r="G730" s="2">
        <v>71042</v>
      </c>
      <c r="H730">
        <v>4</v>
      </c>
      <c r="I730" s="3">
        <v>0</v>
      </c>
      <c r="J730" s="2">
        <v>5325.34</v>
      </c>
    </row>
    <row r="731" spans="1:10" x14ac:dyDescent="0.35">
      <c r="A731" t="s">
        <v>756</v>
      </c>
      <c r="B731" s="1">
        <v>45607</v>
      </c>
      <c r="C731" t="s">
        <v>21</v>
      </c>
      <c r="D731" t="s">
        <v>17</v>
      </c>
      <c r="E731" t="s">
        <v>18</v>
      </c>
      <c r="F731" t="s">
        <v>26</v>
      </c>
      <c r="G731" s="2">
        <v>129558</v>
      </c>
      <c r="H731">
        <v>9</v>
      </c>
      <c r="I731" s="3">
        <v>0.15</v>
      </c>
      <c r="J731" s="2">
        <v>1881.81</v>
      </c>
    </row>
    <row r="732" spans="1:10" x14ac:dyDescent="0.35">
      <c r="A732" t="s">
        <v>757</v>
      </c>
      <c r="B732" s="1">
        <v>45612</v>
      </c>
      <c r="C732" t="s">
        <v>11</v>
      </c>
      <c r="D732" t="s">
        <v>12</v>
      </c>
      <c r="E732" t="s">
        <v>18</v>
      </c>
      <c r="F732" t="s">
        <v>24</v>
      </c>
      <c r="G732" s="2">
        <v>76814</v>
      </c>
      <c r="H732">
        <v>9</v>
      </c>
      <c r="I732" s="3">
        <v>0.05</v>
      </c>
      <c r="J732" s="2">
        <v>10713.77</v>
      </c>
    </row>
    <row r="733" spans="1:10" x14ac:dyDescent="0.35">
      <c r="A733" t="s">
        <v>758</v>
      </c>
      <c r="B733" s="1">
        <v>45317</v>
      </c>
      <c r="C733" t="s">
        <v>21</v>
      </c>
      <c r="D733" t="s">
        <v>12</v>
      </c>
      <c r="E733" t="s">
        <v>13</v>
      </c>
      <c r="F733" t="s">
        <v>26</v>
      </c>
      <c r="G733" s="2">
        <v>144793</v>
      </c>
      <c r="H733">
        <v>2</v>
      </c>
      <c r="I733" s="3">
        <v>0.15</v>
      </c>
      <c r="J733" s="2">
        <v>-4077.37</v>
      </c>
    </row>
    <row r="734" spans="1:10" x14ac:dyDescent="0.35">
      <c r="A734" t="s">
        <v>759</v>
      </c>
      <c r="B734" s="1">
        <v>45482</v>
      </c>
      <c r="C734" t="s">
        <v>16</v>
      </c>
      <c r="D734" t="s">
        <v>22</v>
      </c>
      <c r="E734" t="s">
        <v>13</v>
      </c>
      <c r="F734" t="s">
        <v>40</v>
      </c>
      <c r="G734" s="2">
        <v>115466</v>
      </c>
      <c r="H734">
        <v>1</v>
      </c>
      <c r="I734" s="3">
        <v>0.15</v>
      </c>
      <c r="J734" s="2">
        <v>11414.21</v>
      </c>
    </row>
    <row r="735" spans="1:10" x14ac:dyDescent="0.35">
      <c r="A735" t="s">
        <v>760</v>
      </c>
      <c r="B735" s="1">
        <v>45539</v>
      </c>
      <c r="C735" t="s">
        <v>21</v>
      </c>
      <c r="D735" t="s">
        <v>28</v>
      </c>
      <c r="E735" t="s">
        <v>18</v>
      </c>
      <c r="F735" t="s">
        <v>14</v>
      </c>
      <c r="G735" s="2">
        <v>53294</v>
      </c>
      <c r="H735">
        <v>10</v>
      </c>
      <c r="I735" s="3">
        <v>0</v>
      </c>
      <c r="J735" s="2">
        <v>9408.4699999999993</v>
      </c>
    </row>
    <row r="736" spans="1:10" x14ac:dyDescent="0.35">
      <c r="A736" t="s">
        <v>761</v>
      </c>
      <c r="B736" s="1">
        <v>45336</v>
      </c>
      <c r="C736" t="s">
        <v>21</v>
      </c>
      <c r="D736" t="s">
        <v>22</v>
      </c>
      <c r="E736" t="s">
        <v>13</v>
      </c>
      <c r="F736" t="s">
        <v>19</v>
      </c>
      <c r="G736" s="2">
        <v>127726</v>
      </c>
      <c r="H736">
        <v>7</v>
      </c>
      <c r="I736" s="3">
        <v>0.15</v>
      </c>
      <c r="J736" s="2">
        <v>-8720.94</v>
      </c>
    </row>
    <row r="737" spans="1:10" x14ac:dyDescent="0.35">
      <c r="A737" t="s">
        <v>762</v>
      </c>
      <c r="B737" s="1">
        <v>45370</v>
      </c>
      <c r="C737" t="s">
        <v>11</v>
      </c>
      <c r="D737" t="s">
        <v>28</v>
      </c>
      <c r="E737" t="s">
        <v>18</v>
      </c>
      <c r="F737" t="s">
        <v>19</v>
      </c>
      <c r="G737" s="2">
        <v>140082</v>
      </c>
      <c r="H737">
        <v>7</v>
      </c>
      <c r="I737" s="3">
        <v>0.15</v>
      </c>
      <c r="J737" s="2">
        <v>-2985.7</v>
      </c>
    </row>
    <row r="738" spans="1:10" x14ac:dyDescent="0.35">
      <c r="A738" t="s">
        <v>763</v>
      </c>
      <c r="B738" s="1">
        <v>45480</v>
      </c>
      <c r="C738" t="s">
        <v>11</v>
      </c>
      <c r="D738" t="s">
        <v>28</v>
      </c>
      <c r="E738" t="s">
        <v>18</v>
      </c>
      <c r="F738" t="s">
        <v>26</v>
      </c>
      <c r="G738" s="2">
        <v>66552</v>
      </c>
      <c r="H738">
        <v>4</v>
      </c>
      <c r="I738" s="3">
        <v>0.05</v>
      </c>
      <c r="J738" s="2">
        <v>11485.25</v>
      </c>
    </row>
    <row r="739" spans="1:10" x14ac:dyDescent="0.35">
      <c r="A739" t="s">
        <v>764</v>
      </c>
      <c r="B739" s="1">
        <v>45652</v>
      </c>
      <c r="C739" t="s">
        <v>11</v>
      </c>
      <c r="D739" t="s">
        <v>17</v>
      </c>
      <c r="E739" t="s">
        <v>13</v>
      </c>
      <c r="F739" t="s">
        <v>40</v>
      </c>
      <c r="G739" s="2">
        <v>27844</v>
      </c>
      <c r="H739">
        <v>3</v>
      </c>
      <c r="I739" s="3">
        <v>0.15</v>
      </c>
      <c r="J739" s="2">
        <v>2130.4499999999998</v>
      </c>
    </row>
    <row r="740" spans="1:10" x14ac:dyDescent="0.35">
      <c r="A740" t="s">
        <v>765</v>
      </c>
      <c r="B740" s="1">
        <v>45632</v>
      </c>
      <c r="C740" t="s">
        <v>16</v>
      </c>
      <c r="D740" t="s">
        <v>17</v>
      </c>
      <c r="E740" t="s">
        <v>13</v>
      </c>
      <c r="F740" t="s">
        <v>31</v>
      </c>
      <c r="G740" s="2">
        <v>84497</v>
      </c>
      <c r="H740">
        <v>7</v>
      </c>
      <c r="I740" s="3">
        <v>0.05</v>
      </c>
      <c r="J740" s="2">
        <v>13542.32</v>
      </c>
    </row>
    <row r="741" spans="1:10" x14ac:dyDescent="0.35">
      <c r="A741" t="s">
        <v>766</v>
      </c>
      <c r="B741" s="1">
        <v>45425</v>
      </c>
      <c r="C741" t="s">
        <v>16</v>
      </c>
      <c r="D741" t="s">
        <v>12</v>
      </c>
      <c r="E741" t="s">
        <v>23</v>
      </c>
      <c r="F741" t="s">
        <v>31</v>
      </c>
      <c r="G741" s="2">
        <v>47041</v>
      </c>
      <c r="H741">
        <v>1</v>
      </c>
      <c r="I741" s="3">
        <v>0.05</v>
      </c>
      <c r="J741" s="2">
        <v>8342.5300000000007</v>
      </c>
    </row>
    <row r="742" spans="1:10" x14ac:dyDescent="0.35">
      <c r="A742" t="s">
        <v>767</v>
      </c>
      <c r="B742" s="1">
        <v>45599</v>
      </c>
      <c r="C742" t="s">
        <v>16</v>
      </c>
      <c r="D742" t="s">
        <v>28</v>
      </c>
      <c r="E742" t="s">
        <v>23</v>
      </c>
      <c r="F742" t="s">
        <v>33</v>
      </c>
      <c r="G742" s="2">
        <v>48869</v>
      </c>
      <c r="H742">
        <v>4</v>
      </c>
      <c r="I742" s="3">
        <v>0</v>
      </c>
      <c r="J742" s="2">
        <v>8362.26</v>
      </c>
    </row>
    <row r="743" spans="1:10" x14ac:dyDescent="0.35">
      <c r="A743" t="s">
        <v>768</v>
      </c>
      <c r="B743" s="1">
        <v>45298</v>
      </c>
      <c r="C743" t="s">
        <v>11</v>
      </c>
      <c r="D743" t="s">
        <v>12</v>
      </c>
      <c r="E743" t="s">
        <v>18</v>
      </c>
      <c r="F743" t="s">
        <v>24</v>
      </c>
      <c r="G743" s="2">
        <v>43261</v>
      </c>
      <c r="H743">
        <v>8</v>
      </c>
      <c r="I743" s="3">
        <v>0.1</v>
      </c>
      <c r="J743" s="2">
        <v>-1721.24</v>
      </c>
    </row>
    <row r="744" spans="1:10" x14ac:dyDescent="0.35">
      <c r="A744" t="s">
        <v>769</v>
      </c>
      <c r="B744" s="1">
        <v>45466</v>
      </c>
      <c r="C744" t="s">
        <v>11</v>
      </c>
      <c r="D744" t="s">
        <v>12</v>
      </c>
      <c r="E744" t="s">
        <v>13</v>
      </c>
      <c r="F744" t="s">
        <v>33</v>
      </c>
      <c r="G744" s="2">
        <v>38126</v>
      </c>
      <c r="H744">
        <v>8</v>
      </c>
      <c r="I744" s="3">
        <v>0.05</v>
      </c>
      <c r="J744" s="2">
        <v>1466.59</v>
      </c>
    </row>
    <row r="745" spans="1:10" x14ac:dyDescent="0.35">
      <c r="A745" t="s">
        <v>770</v>
      </c>
      <c r="B745" s="1">
        <v>45416</v>
      </c>
      <c r="C745" t="s">
        <v>11</v>
      </c>
      <c r="D745" t="s">
        <v>22</v>
      </c>
      <c r="E745" t="s">
        <v>23</v>
      </c>
      <c r="F745" t="s">
        <v>40</v>
      </c>
      <c r="G745" s="2">
        <v>96030</v>
      </c>
      <c r="H745">
        <v>4</v>
      </c>
      <c r="I745" s="3">
        <v>0.15</v>
      </c>
      <c r="J745" s="2">
        <v>3387.92</v>
      </c>
    </row>
    <row r="746" spans="1:10" x14ac:dyDescent="0.35">
      <c r="A746" t="s">
        <v>771</v>
      </c>
      <c r="B746" s="1">
        <v>45495</v>
      </c>
      <c r="C746" t="s">
        <v>16</v>
      </c>
      <c r="D746" t="s">
        <v>17</v>
      </c>
      <c r="E746" t="s">
        <v>13</v>
      </c>
      <c r="F746" t="s">
        <v>26</v>
      </c>
      <c r="G746" s="2">
        <v>49625</v>
      </c>
      <c r="H746">
        <v>5</v>
      </c>
      <c r="I746" s="3">
        <v>0.1</v>
      </c>
      <c r="J746" s="2">
        <v>609.5</v>
      </c>
    </row>
    <row r="747" spans="1:10" x14ac:dyDescent="0.35">
      <c r="A747" t="s">
        <v>772</v>
      </c>
      <c r="B747" s="1">
        <v>45514</v>
      </c>
      <c r="C747" t="s">
        <v>16</v>
      </c>
      <c r="D747" t="s">
        <v>17</v>
      </c>
      <c r="E747" t="s">
        <v>13</v>
      </c>
      <c r="F747" t="s">
        <v>26</v>
      </c>
      <c r="G747" s="2">
        <v>130309</v>
      </c>
      <c r="H747">
        <v>7</v>
      </c>
      <c r="I747" s="3">
        <v>0.15</v>
      </c>
      <c r="J747" s="2">
        <v>-9443.69</v>
      </c>
    </row>
    <row r="748" spans="1:10" x14ac:dyDescent="0.35">
      <c r="A748" t="s">
        <v>773</v>
      </c>
      <c r="B748" s="1">
        <v>45305</v>
      </c>
      <c r="C748" t="s">
        <v>21</v>
      </c>
      <c r="D748" t="s">
        <v>22</v>
      </c>
      <c r="E748" t="s">
        <v>23</v>
      </c>
      <c r="F748" t="s">
        <v>19</v>
      </c>
      <c r="G748" s="2">
        <v>94920</v>
      </c>
      <c r="H748">
        <v>10</v>
      </c>
      <c r="I748" s="3">
        <v>0</v>
      </c>
      <c r="J748" s="2">
        <v>22748.28</v>
      </c>
    </row>
    <row r="749" spans="1:10" x14ac:dyDescent="0.35">
      <c r="A749" t="s">
        <v>774</v>
      </c>
      <c r="B749" s="1">
        <v>45405</v>
      </c>
      <c r="C749" t="s">
        <v>21</v>
      </c>
      <c r="D749" t="s">
        <v>28</v>
      </c>
      <c r="E749" t="s">
        <v>23</v>
      </c>
      <c r="F749" t="s">
        <v>33</v>
      </c>
      <c r="G749" s="2">
        <v>120647</v>
      </c>
      <c r="H749">
        <v>6</v>
      </c>
      <c r="I749" s="3">
        <v>0.1</v>
      </c>
      <c r="J749" s="2">
        <v>-2781.01</v>
      </c>
    </row>
    <row r="750" spans="1:10" x14ac:dyDescent="0.35">
      <c r="A750" t="s">
        <v>775</v>
      </c>
      <c r="B750" s="1">
        <v>45623</v>
      </c>
      <c r="C750" t="s">
        <v>21</v>
      </c>
      <c r="D750" t="s">
        <v>28</v>
      </c>
      <c r="E750" t="s">
        <v>18</v>
      </c>
      <c r="F750" t="s">
        <v>40</v>
      </c>
      <c r="G750" s="2">
        <v>101944</v>
      </c>
      <c r="H750">
        <v>7</v>
      </c>
      <c r="I750" s="3">
        <v>0.1</v>
      </c>
      <c r="J750" s="2">
        <v>-4618.13</v>
      </c>
    </row>
    <row r="751" spans="1:10" x14ac:dyDescent="0.35">
      <c r="A751" t="s">
        <v>776</v>
      </c>
      <c r="B751" s="1">
        <v>45304</v>
      </c>
      <c r="C751" t="s">
        <v>16</v>
      </c>
      <c r="D751" t="s">
        <v>28</v>
      </c>
      <c r="E751" t="s">
        <v>23</v>
      </c>
      <c r="F751" t="s">
        <v>14</v>
      </c>
      <c r="G751" s="2">
        <v>59896</v>
      </c>
      <c r="H751">
        <v>5</v>
      </c>
      <c r="I751" s="3">
        <v>0</v>
      </c>
      <c r="J751" s="2">
        <v>7210.96</v>
      </c>
    </row>
    <row r="752" spans="1:10" x14ac:dyDescent="0.35">
      <c r="A752" t="s">
        <v>777</v>
      </c>
      <c r="B752" s="1">
        <v>45637</v>
      </c>
      <c r="C752" t="s">
        <v>11</v>
      </c>
      <c r="D752" t="s">
        <v>12</v>
      </c>
      <c r="E752" t="s">
        <v>18</v>
      </c>
      <c r="F752" t="s">
        <v>19</v>
      </c>
      <c r="G752" s="2">
        <v>116874</v>
      </c>
      <c r="H752">
        <v>6</v>
      </c>
      <c r="I752" s="3">
        <v>0</v>
      </c>
      <c r="J752" s="2">
        <v>16259.37</v>
      </c>
    </row>
    <row r="753" spans="1:10" x14ac:dyDescent="0.35">
      <c r="A753" t="s">
        <v>778</v>
      </c>
      <c r="B753" s="1">
        <v>45526</v>
      </c>
      <c r="C753" t="s">
        <v>16</v>
      </c>
      <c r="D753" t="s">
        <v>17</v>
      </c>
      <c r="E753" t="s">
        <v>13</v>
      </c>
      <c r="F753" t="s">
        <v>14</v>
      </c>
      <c r="G753" s="2">
        <v>117653</v>
      </c>
      <c r="H753">
        <v>2</v>
      </c>
      <c r="I753" s="3">
        <v>0.05</v>
      </c>
      <c r="J753" s="2">
        <v>10092.969999999999</v>
      </c>
    </row>
    <row r="754" spans="1:10" x14ac:dyDescent="0.35">
      <c r="A754" t="s">
        <v>779</v>
      </c>
      <c r="B754" s="1">
        <v>45388</v>
      </c>
      <c r="C754" t="s">
        <v>11</v>
      </c>
      <c r="D754" t="s">
        <v>12</v>
      </c>
      <c r="E754" t="s">
        <v>13</v>
      </c>
      <c r="F754" t="s">
        <v>24</v>
      </c>
      <c r="G754" s="2">
        <v>14033</v>
      </c>
      <c r="H754">
        <v>10</v>
      </c>
      <c r="I754" s="3">
        <v>0.1</v>
      </c>
      <c r="J754" s="2">
        <v>1264.27</v>
      </c>
    </row>
    <row r="755" spans="1:10" x14ac:dyDescent="0.35">
      <c r="A755" t="s">
        <v>780</v>
      </c>
      <c r="B755" s="1">
        <v>45396</v>
      </c>
      <c r="C755" t="s">
        <v>16</v>
      </c>
      <c r="D755" t="s">
        <v>28</v>
      </c>
      <c r="E755" t="s">
        <v>23</v>
      </c>
      <c r="F755" t="s">
        <v>24</v>
      </c>
      <c r="G755" s="2">
        <v>108495</v>
      </c>
      <c r="H755">
        <v>9</v>
      </c>
      <c r="I755" s="3">
        <v>0.05</v>
      </c>
      <c r="J755" s="2">
        <v>20927.23</v>
      </c>
    </row>
    <row r="756" spans="1:10" x14ac:dyDescent="0.35">
      <c r="A756" t="s">
        <v>781</v>
      </c>
      <c r="B756" s="1">
        <v>45514</v>
      </c>
      <c r="C756" t="s">
        <v>21</v>
      </c>
      <c r="D756" t="s">
        <v>22</v>
      </c>
      <c r="E756" t="s">
        <v>18</v>
      </c>
      <c r="F756" t="s">
        <v>14</v>
      </c>
      <c r="G756" s="2">
        <v>148839</v>
      </c>
      <c r="H756">
        <v>9</v>
      </c>
      <c r="I756" s="3">
        <v>0.05</v>
      </c>
      <c r="J756" s="2">
        <v>14415.13</v>
      </c>
    </row>
    <row r="757" spans="1:10" x14ac:dyDescent="0.35">
      <c r="A757" t="s">
        <v>782</v>
      </c>
      <c r="B757" s="1">
        <v>45543</v>
      </c>
      <c r="C757" t="s">
        <v>21</v>
      </c>
      <c r="D757" t="s">
        <v>12</v>
      </c>
      <c r="E757" t="s">
        <v>18</v>
      </c>
      <c r="F757" t="s">
        <v>19</v>
      </c>
      <c r="G757" s="2">
        <v>54293</v>
      </c>
      <c r="H757">
        <v>5</v>
      </c>
      <c r="I757" s="3">
        <v>0.1</v>
      </c>
      <c r="J757" s="2">
        <v>-1709.53</v>
      </c>
    </row>
    <row r="758" spans="1:10" x14ac:dyDescent="0.35">
      <c r="A758" t="s">
        <v>783</v>
      </c>
      <c r="B758" s="1">
        <v>45546</v>
      </c>
      <c r="C758" t="s">
        <v>11</v>
      </c>
      <c r="D758" t="s">
        <v>28</v>
      </c>
      <c r="E758" t="s">
        <v>23</v>
      </c>
      <c r="F758" t="s">
        <v>24</v>
      </c>
      <c r="G758" s="2">
        <v>7394</v>
      </c>
      <c r="H758">
        <v>10</v>
      </c>
      <c r="I758" s="3">
        <v>0.1</v>
      </c>
      <c r="J758" s="2">
        <v>1047.9100000000001</v>
      </c>
    </row>
    <row r="759" spans="1:10" x14ac:dyDescent="0.35">
      <c r="A759" t="s">
        <v>784</v>
      </c>
      <c r="B759" s="1">
        <v>45376</v>
      </c>
      <c r="C759" t="s">
        <v>21</v>
      </c>
      <c r="D759" t="s">
        <v>17</v>
      </c>
      <c r="E759" t="s">
        <v>18</v>
      </c>
      <c r="F759" t="s">
        <v>40</v>
      </c>
      <c r="G759" s="2">
        <v>36850</v>
      </c>
      <c r="H759">
        <v>9</v>
      </c>
      <c r="I759" s="3">
        <v>0</v>
      </c>
      <c r="J759" s="2">
        <v>3706.62</v>
      </c>
    </row>
    <row r="760" spans="1:10" x14ac:dyDescent="0.35">
      <c r="A760" t="s">
        <v>785</v>
      </c>
      <c r="B760" s="1">
        <v>45390</v>
      </c>
      <c r="C760" t="s">
        <v>21</v>
      </c>
      <c r="D760" t="s">
        <v>28</v>
      </c>
      <c r="E760" t="s">
        <v>23</v>
      </c>
      <c r="F760" t="s">
        <v>24</v>
      </c>
      <c r="G760" s="2">
        <v>34862</v>
      </c>
      <c r="H760">
        <v>1</v>
      </c>
      <c r="I760" s="3">
        <v>0.15</v>
      </c>
      <c r="J760" s="2">
        <v>1167.6199999999999</v>
      </c>
    </row>
    <row r="761" spans="1:10" x14ac:dyDescent="0.35">
      <c r="A761" t="s">
        <v>786</v>
      </c>
      <c r="B761" s="1">
        <v>45437</v>
      </c>
      <c r="C761" t="s">
        <v>11</v>
      </c>
      <c r="D761" t="s">
        <v>12</v>
      </c>
      <c r="E761" t="s">
        <v>13</v>
      </c>
      <c r="F761" t="s">
        <v>31</v>
      </c>
      <c r="G761" s="2">
        <v>102771</v>
      </c>
      <c r="H761">
        <v>3</v>
      </c>
      <c r="I761" s="3">
        <v>0</v>
      </c>
      <c r="J761" s="2">
        <v>18009.12</v>
      </c>
    </row>
    <row r="762" spans="1:10" x14ac:dyDescent="0.35">
      <c r="A762" t="s">
        <v>787</v>
      </c>
      <c r="B762" s="1">
        <v>45425</v>
      </c>
      <c r="C762" t="s">
        <v>16</v>
      </c>
      <c r="D762" t="s">
        <v>12</v>
      </c>
      <c r="E762" t="s">
        <v>18</v>
      </c>
      <c r="F762" t="s">
        <v>19</v>
      </c>
      <c r="G762" s="2">
        <v>125900</v>
      </c>
      <c r="H762">
        <v>3</v>
      </c>
      <c r="I762" s="3">
        <v>0.1</v>
      </c>
      <c r="J762" s="2">
        <v>2663.82</v>
      </c>
    </row>
    <row r="763" spans="1:10" x14ac:dyDescent="0.35">
      <c r="A763" t="s">
        <v>788</v>
      </c>
      <c r="B763" s="1">
        <v>45604</v>
      </c>
      <c r="C763" t="s">
        <v>11</v>
      </c>
      <c r="D763" t="s">
        <v>17</v>
      </c>
      <c r="E763" t="s">
        <v>23</v>
      </c>
      <c r="F763" t="s">
        <v>40</v>
      </c>
      <c r="G763" s="2">
        <v>16049</v>
      </c>
      <c r="H763">
        <v>4</v>
      </c>
      <c r="I763" s="3">
        <v>0.15</v>
      </c>
      <c r="J763" s="2">
        <v>-26.19</v>
      </c>
    </row>
    <row r="764" spans="1:10" x14ac:dyDescent="0.35">
      <c r="A764" t="s">
        <v>789</v>
      </c>
      <c r="B764" s="1">
        <v>45520</v>
      </c>
      <c r="C764" t="s">
        <v>16</v>
      </c>
      <c r="D764" t="s">
        <v>28</v>
      </c>
      <c r="E764" t="s">
        <v>18</v>
      </c>
      <c r="F764" t="s">
        <v>40</v>
      </c>
      <c r="G764" s="2">
        <v>139485</v>
      </c>
      <c r="H764">
        <v>8</v>
      </c>
      <c r="I764" s="3">
        <v>0</v>
      </c>
      <c r="J764" s="2">
        <v>33620.160000000003</v>
      </c>
    </row>
    <row r="765" spans="1:10" x14ac:dyDescent="0.35">
      <c r="A765" t="s">
        <v>790</v>
      </c>
      <c r="B765" s="1">
        <v>45339</v>
      </c>
      <c r="C765" t="s">
        <v>16</v>
      </c>
      <c r="D765" t="s">
        <v>22</v>
      </c>
      <c r="E765" t="s">
        <v>23</v>
      </c>
      <c r="F765" t="s">
        <v>19</v>
      </c>
      <c r="G765" s="2">
        <v>109526</v>
      </c>
      <c r="H765">
        <v>6</v>
      </c>
      <c r="I765" s="3">
        <v>0.1</v>
      </c>
      <c r="J765" s="2">
        <v>12311.39</v>
      </c>
    </row>
    <row r="766" spans="1:10" x14ac:dyDescent="0.35">
      <c r="A766" t="s">
        <v>791</v>
      </c>
      <c r="B766" s="1">
        <v>45397</v>
      </c>
      <c r="C766" t="s">
        <v>21</v>
      </c>
      <c r="D766" t="s">
        <v>17</v>
      </c>
      <c r="E766" t="s">
        <v>13</v>
      </c>
      <c r="F766" t="s">
        <v>40</v>
      </c>
      <c r="G766" s="2">
        <v>73025</v>
      </c>
      <c r="H766">
        <v>4</v>
      </c>
      <c r="I766" s="3">
        <v>0.15</v>
      </c>
      <c r="J766" s="2">
        <v>1726.83</v>
      </c>
    </row>
    <row r="767" spans="1:10" x14ac:dyDescent="0.35">
      <c r="A767" t="s">
        <v>792</v>
      </c>
      <c r="B767" s="1">
        <v>45576</v>
      </c>
      <c r="C767" t="s">
        <v>21</v>
      </c>
      <c r="D767" t="s">
        <v>28</v>
      </c>
      <c r="E767" t="s">
        <v>23</v>
      </c>
      <c r="F767" t="s">
        <v>14</v>
      </c>
      <c r="G767" s="2">
        <v>11300</v>
      </c>
      <c r="H767">
        <v>1</v>
      </c>
      <c r="I767" s="3">
        <v>0.15</v>
      </c>
      <c r="J767" s="2">
        <v>-29.28</v>
      </c>
    </row>
    <row r="768" spans="1:10" x14ac:dyDescent="0.35">
      <c r="A768" t="s">
        <v>793</v>
      </c>
      <c r="B768" s="1">
        <v>45648</v>
      </c>
      <c r="C768" t="s">
        <v>21</v>
      </c>
      <c r="D768" t="s">
        <v>28</v>
      </c>
      <c r="E768" t="s">
        <v>23</v>
      </c>
      <c r="F768" t="s">
        <v>31</v>
      </c>
      <c r="G768" s="2">
        <v>137355</v>
      </c>
      <c r="H768">
        <v>10</v>
      </c>
      <c r="I768" s="3">
        <v>0.05</v>
      </c>
      <c r="J768" s="2">
        <v>16948.060000000001</v>
      </c>
    </row>
    <row r="769" spans="1:10" x14ac:dyDescent="0.35">
      <c r="A769" t="s">
        <v>794</v>
      </c>
      <c r="B769" s="1">
        <v>45298</v>
      </c>
      <c r="C769" t="s">
        <v>21</v>
      </c>
      <c r="D769" t="s">
        <v>22</v>
      </c>
      <c r="E769" t="s">
        <v>23</v>
      </c>
      <c r="F769" t="s">
        <v>40</v>
      </c>
      <c r="G769" s="2">
        <v>35667</v>
      </c>
      <c r="H769">
        <v>3</v>
      </c>
      <c r="I769" s="3">
        <v>0</v>
      </c>
      <c r="J769" s="2">
        <v>4486.72</v>
      </c>
    </row>
    <row r="770" spans="1:10" x14ac:dyDescent="0.35">
      <c r="A770" t="s">
        <v>795</v>
      </c>
      <c r="B770" s="1">
        <v>45388</v>
      </c>
      <c r="C770" t="s">
        <v>21</v>
      </c>
      <c r="D770" t="s">
        <v>22</v>
      </c>
      <c r="E770" t="s">
        <v>23</v>
      </c>
      <c r="F770" t="s">
        <v>19</v>
      </c>
      <c r="G770" s="2">
        <v>40923</v>
      </c>
      <c r="H770">
        <v>6</v>
      </c>
      <c r="I770" s="3">
        <v>0.05</v>
      </c>
      <c r="J770" s="2">
        <v>6454.45</v>
      </c>
    </row>
    <row r="771" spans="1:10" x14ac:dyDescent="0.35">
      <c r="A771" t="s">
        <v>796</v>
      </c>
      <c r="B771" s="1">
        <v>45296</v>
      </c>
      <c r="C771" t="s">
        <v>16</v>
      </c>
      <c r="D771" t="s">
        <v>22</v>
      </c>
      <c r="E771" t="s">
        <v>13</v>
      </c>
      <c r="F771" t="s">
        <v>26</v>
      </c>
      <c r="G771" s="2">
        <v>47089</v>
      </c>
      <c r="H771">
        <v>10</v>
      </c>
      <c r="I771" s="3">
        <v>0.1</v>
      </c>
      <c r="J771" s="2">
        <v>-2062.02</v>
      </c>
    </row>
    <row r="772" spans="1:10" x14ac:dyDescent="0.35">
      <c r="A772" t="s">
        <v>797</v>
      </c>
      <c r="B772" s="1">
        <v>45365</v>
      </c>
      <c r="C772" t="s">
        <v>11</v>
      </c>
      <c r="D772" t="s">
        <v>22</v>
      </c>
      <c r="E772" t="s">
        <v>23</v>
      </c>
      <c r="F772" t="s">
        <v>33</v>
      </c>
      <c r="G772" s="2">
        <v>13618</v>
      </c>
      <c r="H772">
        <v>5</v>
      </c>
      <c r="I772" s="3">
        <v>0.15</v>
      </c>
      <c r="J772" s="2">
        <v>980.11</v>
      </c>
    </row>
    <row r="773" spans="1:10" x14ac:dyDescent="0.35">
      <c r="A773" t="s">
        <v>798</v>
      </c>
      <c r="B773" s="1">
        <v>45518</v>
      </c>
      <c r="C773" t="s">
        <v>11</v>
      </c>
      <c r="D773" t="s">
        <v>12</v>
      </c>
      <c r="E773" t="s">
        <v>23</v>
      </c>
      <c r="F773" t="s">
        <v>14</v>
      </c>
      <c r="G773" s="2">
        <v>54505</v>
      </c>
      <c r="H773">
        <v>1</v>
      </c>
      <c r="I773" s="3">
        <v>0.1</v>
      </c>
      <c r="J773" s="2">
        <v>-2239.77</v>
      </c>
    </row>
    <row r="774" spans="1:10" x14ac:dyDescent="0.35">
      <c r="A774" t="s">
        <v>799</v>
      </c>
      <c r="B774" s="1">
        <v>45395</v>
      </c>
      <c r="C774" t="s">
        <v>21</v>
      </c>
      <c r="D774" t="s">
        <v>22</v>
      </c>
      <c r="E774" t="s">
        <v>13</v>
      </c>
      <c r="F774" t="s">
        <v>19</v>
      </c>
      <c r="G774" s="2">
        <v>78803</v>
      </c>
      <c r="H774">
        <v>1</v>
      </c>
      <c r="I774" s="3">
        <v>0</v>
      </c>
      <c r="J774" s="2">
        <v>14056.17</v>
      </c>
    </row>
    <row r="775" spans="1:10" x14ac:dyDescent="0.35">
      <c r="A775" t="s">
        <v>800</v>
      </c>
      <c r="B775" s="1">
        <v>45575</v>
      </c>
      <c r="C775" t="s">
        <v>21</v>
      </c>
      <c r="D775" t="s">
        <v>28</v>
      </c>
      <c r="E775" t="s">
        <v>23</v>
      </c>
      <c r="F775" t="s">
        <v>40</v>
      </c>
      <c r="G775" s="2">
        <v>85555</v>
      </c>
      <c r="H775">
        <v>5</v>
      </c>
      <c r="I775" s="3">
        <v>0</v>
      </c>
      <c r="J775" s="2">
        <v>4492.7299999999996</v>
      </c>
    </row>
    <row r="776" spans="1:10" x14ac:dyDescent="0.35">
      <c r="A776" t="s">
        <v>801</v>
      </c>
      <c r="B776" s="1">
        <v>45308</v>
      </c>
      <c r="C776" t="s">
        <v>21</v>
      </c>
      <c r="D776" t="s">
        <v>22</v>
      </c>
      <c r="E776" t="s">
        <v>18</v>
      </c>
      <c r="F776" t="s">
        <v>40</v>
      </c>
      <c r="G776" s="2">
        <v>21378</v>
      </c>
      <c r="H776">
        <v>8</v>
      </c>
      <c r="I776" s="3">
        <v>0.15</v>
      </c>
      <c r="J776" s="2">
        <v>-1389.67</v>
      </c>
    </row>
    <row r="777" spans="1:10" x14ac:dyDescent="0.35">
      <c r="A777" t="s">
        <v>802</v>
      </c>
      <c r="B777" s="1">
        <v>45515</v>
      </c>
      <c r="C777" t="s">
        <v>11</v>
      </c>
      <c r="D777" t="s">
        <v>28</v>
      </c>
      <c r="E777" t="s">
        <v>18</v>
      </c>
      <c r="F777" t="s">
        <v>31</v>
      </c>
      <c r="G777" s="2">
        <v>46481</v>
      </c>
      <c r="H777">
        <v>8</v>
      </c>
      <c r="I777" s="3">
        <v>0</v>
      </c>
      <c r="J777" s="2">
        <v>10519.98</v>
      </c>
    </row>
    <row r="778" spans="1:10" x14ac:dyDescent="0.35">
      <c r="A778" t="s">
        <v>803</v>
      </c>
      <c r="B778" s="1">
        <v>45410</v>
      </c>
      <c r="C778" t="s">
        <v>21</v>
      </c>
      <c r="D778" t="s">
        <v>12</v>
      </c>
      <c r="E778" t="s">
        <v>23</v>
      </c>
      <c r="F778" t="s">
        <v>26</v>
      </c>
      <c r="G778" s="2">
        <v>97863</v>
      </c>
      <c r="H778">
        <v>3</v>
      </c>
      <c r="I778" s="3">
        <v>0</v>
      </c>
      <c r="J778" s="2">
        <v>14267.15</v>
      </c>
    </row>
    <row r="779" spans="1:10" x14ac:dyDescent="0.35">
      <c r="A779" t="s">
        <v>804</v>
      </c>
      <c r="B779" s="1">
        <v>45327</v>
      </c>
      <c r="C779" t="s">
        <v>16</v>
      </c>
      <c r="D779" t="s">
        <v>17</v>
      </c>
      <c r="E779" t="s">
        <v>18</v>
      </c>
      <c r="F779" t="s">
        <v>14</v>
      </c>
      <c r="G779" s="2">
        <v>21650</v>
      </c>
      <c r="H779">
        <v>4</v>
      </c>
      <c r="I779" s="3">
        <v>0</v>
      </c>
      <c r="J779" s="2">
        <v>3434.99</v>
      </c>
    </row>
    <row r="780" spans="1:10" x14ac:dyDescent="0.35">
      <c r="A780" t="s">
        <v>805</v>
      </c>
      <c r="B780" s="1">
        <v>45530</v>
      </c>
      <c r="C780" t="s">
        <v>21</v>
      </c>
      <c r="D780" t="s">
        <v>12</v>
      </c>
      <c r="E780" t="s">
        <v>18</v>
      </c>
      <c r="F780" t="s">
        <v>26</v>
      </c>
      <c r="G780" s="2">
        <v>148478</v>
      </c>
      <c r="H780">
        <v>7</v>
      </c>
      <c r="I780" s="3">
        <v>0.15</v>
      </c>
      <c r="J780" s="2">
        <v>9172.59</v>
      </c>
    </row>
    <row r="781" spans="1:10" x14ac:dyDescent="0.35">
      <c r="A781" t="s">
        <v>806</v>
      </c>
      <c r="B781" s="1">
        <v>45511</v>
      </c>
      <c r="C781" t="s">
        <v>16</v>
      </c>
      <c r="D781" t="s">
        <v>17</v>
      </c>
      <c r="E781" t="s">
        <v>13</v>
      </c>
      <c r="F781" t="s">
        <v>31</v>
      </c>
      <c r="G781" s="2">
        <v>28947</v>
      </c>
      <c r="H781">
        <v>1</v>
      </c>
      <c r="I781" s="3">
        <v>0.05</v>
      </c>
      <c r="J781" s="2">
        <v>3394.12</v>
      </c>
    </row>
    <row r="782" spans="1:10" x14ac:dyDescent="0.35">
      <c r="A782" t="s">
        <v>807</v>
      </c>
      <c r="B782" s="1">
        <v>45553</v>
      </c>
      <c r="C782" t="s">
        <v>16</v>
      </c>
      <c r="D782" t="s">
        <v>28</v>
      </c>
      <c r="E782" t="s">
        <v>13</v>
      </c>
      <c r="F782" t="s">
        <v>14</v>
      </c>
      <c r="G782" s="2">
        <v>126310</v>
      </c>
      <c r="H782">
        <v>6</v>
      </c>
      <c r="I782" s="3">
        <v>0</v>
      </c>
      <c r="J782" s="2">
        <v>10260.06</v>
      </c>
    </row>
    <row r="783" spans="1:10" x14ac:dyDescent="0.35">
      <c r="A783" t="s">
        <v>808</v>
      </c>
      <c r="B783" s="1">
        <v>45375</v>
      </c>
      <c r="C783" t="s">
        <v>16</v>
      </c>
      <c r="D783" t="s">
        <v>28</v>
      </c>
      <c r="E783" t="s">
        <v>13</v>
      </c>
      <c r="F783" t="s">
        <v>14</v>
      </c>
      <c r="G783" s="2">
        <v>24170</v>
      </c>
      <c r="H783">
        <v>9</v>
      </c>
      <c r="I783" s="3">
        <v>0.1</v>
      </c>
      <c r="J783" s="2">
        <v>2692.1</v>
      </c>
    </row>
    <row r="784" spans="1:10" x14ac:dyDescent="0.35">
      <c r="A784" t="s">
        <v>809</v>
      </c>
      <c r="B784" s="1">
        <v>45398</v>
      </c>
      <c r="C784" t="s">
        <v>16</v>
      </c>
      <c r="D784" t="s">
        <v>28</v>
      </c>
      <c r="E784" t="s">
        <v>18</v>
      </c>
      <c r="F784" t="s">
        <v>24</v>
      </c>
      <c r="G784" s="2">
        <v>131581</v>
      </c>
      <c r="H784">
        <v>5</v>
      </c>
      <c r="I784" s="3">
        <v>0.05</v>
      </c>
      <c r="J784" s="2">
        <v>4208.97</v>
      </c>
    </row>
    <row r="785" spans="1:10" x14ac:dyDescent="0.35">
      <c r="A785" t="s">
        <v>810</v>
      </c>
      <c r="B785" s="1">
        <v>45505</v>
      </c>
      <c r="C785" t="s">
        <v>21</v>
      </c>
      <c r="D785" t="s">
        <v>22</v>
      </c>
      <c r="E785" t="s">
        <v>13</v>
      </c>
      <c r="F785" t="s">
        <v>24</v>
      </c>
      <c r="G785" s="2">
        <v>98231</v>
      </c>
      <c r="H785">
        <v>1</v>
      </c>
      <c r="I785" s="3">
        <v>0.1</v>
      </c>
      <c r="J785" s="2">
        <v>2472.8200000000002</v>
      </c>
    </row>
    <row r="786" spans="1:10" x14ac:dyDescent="0.35">
      <c r="A786" t="s">
        <v>811</v>
      </c>
      <c r="B786" s="1">
        <v>45310</v>
      </c>
      <c r="C786" t="s">
        <v>11</v>
      </c>
      <c r="D786" t="s">
        <v>28</v>
      </c>
      <c r="E786" t="s">
        <v>18</v>
      </c>
      <c r="F786" t="s">
        <v>14</v>
      </c>
      <c r="G786" s="2">
        <v>14291</v>
      </c>
      <c r="H786">
        <v>6</v>
      </c>
      <c r="I786" s="3">
        <v>0</v>
      </c>
      <c r="J786" s="2">
        <v>2489.65</v>
      </c>
    </row>
    <row r="787" spans="1:10" x14ac:dyDescent="0.35">
      <c r="A787" t="s">
        <v>812</v>
      </c>
      <c r="B787" s="1">
        <v>45642</v>
      </c>
      <c r="C787" t="s">
        <v>11</v>
      </c>
      <c r="D787" t="s">
        <v>17</v>
      </c>
      <c r="E787" t="s">
        <v>18</v>
      </c>
      <c r="F787" t="s">
        <v>40</v>
      </c>
      <c r="G787" s="2">
        <v>80378</v>
      </c>
      <c r="H787">
        <v>4</v>
      </c>
      <c r="I787" s="3">
        <v>0.05</v>
      </c>
      <c r="J787" s="2">
        <v>15983.91</v>
      </c>
    </row>
    <row r="788" spans="1:10" x14ac:dyDescent="0.35">
      <c r="A788" t="s">
        <v>813</v>
      </c>
      <c r="B788" s="1">
        <v>45457</v>
      </c>
      <c r="C788" t="s">
        <v>21</v>
      </c>
      <c r="D788" t="s">
        <v>17</v>
      </c>
      <c r="E788" t="s">
        <v>13</v>
      </c>
      <c r="F788" t="s">
        <v>31</v>
      </c>
      <c r="G788" s="2">
        <v>47894</v>
      </c>
      <c r="H788">
        <v>1</v>
      </c>
      <c r="I788" s="3">
        <v>0.15</v>
      </c>
      <c r="J788" s="2">
        <v>3000.76</v>
      </c>
    </row>
    <row r="789" spans="1:10" x14ac:dyDescent="0.35">
      <c r="A789" t="s">
        <v>814</v>
      </c>
      <c r="B789" s="1">
        <v>45347</v>
      </c>
      <c r="C789" t="s">
        <v>11</v>
      </c>
      <c r="D789" t="s">
        <v>22</v>
      </c>
      <c r="E789" t="s">
        <v>23</v>
      </c>
      <c r="F789" t="s">
        <v>26</v>
      </c>
      <c r="G789" s="2">
        <v>45899</v>
      </c>
      <c r="H789">
        <v>2</v>
      </c>
      <c r="I789" s="3">
        <v>0.05</v>
      </c>
      <c r="J789" s="2">
        <v>1805.16</v>
      </c>
    </row>
    <row r="790" spans="1:10" x14ac:dyDescent="0.35">
      <c r="A790" t="s">
        <v>815</v>
      </c>
      <c r="B790" s="1">
        <v>45410</v>
      </c>
      <c r="C790" t="s">
        <v>21</v>
      </c>
      <c r="D790" t="s">
        <v>17</v>
      </c>
      <c r="E790" t="s">
        <v>23</v>
      </c>
      <c r="F790" t="s">
        <v>24</v>
      </c>
      <c r="G790" s="2">
        <v>105089</v>
      </c>
      <c r="H790">
        <v>6</v>
      </c>
      <c r="I790" s="3">
        <v>0.15</v>
      </c>
      <c r="J790" s="2">
        <v>-8305.49</v>
      </c>
    </row>
    <row r="791" spans="1:10" x14ac:dyDescent="0.35">
      <c r="A791" t="s">
        <v>816</v>
      </c>
      <c r="B791" s="1">
        <v>45570</v>
      </c>
      <c r="C791" t="s">
        <v>21</v>
      </c>
      <c r="D791" t="s">
        <v>28</v>
      </c>
      <c r="E791" t="s">
        <v>23</v>
      </c>
      <c r="F791" t="s">
        <v>33</v>
      </c>
      <c r="G791" s="2">
        <v>113839</v>
      </c>
      <c r="H791">
        <v>3</v>
      </c>
      <c r="I791" s="3">
        <v>0.15</v>
      </c>
      <c r="J791" s="2">
        <v>8896.57</v>
      </c>
    </row>
    <row r="792" spans="1:10" x14ac:dyDescent="0.35">
      <c r="A792" t="s">
        <v>817</v>
      </c>
      <c r="B792" s="1">
        <v>45612</v>
      </c>
      <c r="C792" t="s">
        <v>11</v>
      </c>
      <c r="D792" t="s">
        <v>17</v>
      </c>
      <c r="E792" t="s">
        <v>23</v>
      </c>
      <c r="F792" t="s">
        <v>24</v>
      </c>
      <c r="G792" s="2">
        <v>58604</v>
      </c>
      <c r="H792">
        <v>4</v>
      </c>
      <c r="I792" s="3">
        <v>0</v>
      </c>
      <c r="J792" s="2">
        <v>4402.75</v>
      </c>
    </row>
    <row r="793" spans="1:10" x14ac:dyDescent="0.35">
      <c r="A793" t="s">
        <v>818</v>
      </c>
      <c r="B793" s="1">
        <v>45505</v>
      </c>
      <c r="C793" t="s">
        <v>16</v>
      </c>
      <c r="D793" t="s">
        <v>22</v>
      </c>
      <c r="E793" t="s">
        <v>23</v>
      </c>
      <c r="F793" t="s">
        <v>19</v>
      </c>
      <c r="G793" s="2">
        <v>28109</v>
      </c>
      <c r="H793">
        <v>6</v>
      </c>
      <c r="I793" s="3">
        <v>0.1</v>
      </c>
      <c r="J793" s="2">
        <v>-1387.89</v>
      </c>
    </row>
    <row r="794" spans="1:10" x14ac:dyDescent="0.35">
      <c r="A794" t="s">
        <v>819</v>
      </c>
      <c r="B794" s="1">
        <v>45638</v>
      </c>
      <c r="C794" t="s">
        <v>11</v>
      </c>
      <c r="D794" t="s">
        <v>28</v>
      </c>
      <c r="E794" t="s">
        <v>23</v>
      </c>
      <c r="F794" t="s">
        <v>24</v>
      </c>
      <c r="G794" s="2">
        <v>30563</v>
      </c>
      <c r="H794">
        <v>8</v>
      </c>
      <c r="I794" s="3">
        <v>0.05</v>
      </c>
      <c r="J794" s="2">
        <v>739.63</v>
      </c>
    </row>
    <row r="795" spans="1:10" x14ac:dyDescent="0.35">
      <c r="A795" t="s">
        <v>820</v>
      </c>
      <c r="B795" s="1">
        <v>45646</v>
      </c>
      <c r="C795" t="s">
        <v>11</v>
      </c>
      <c r="D795" t="s">
        <v>17</v>
      </c>
      <c r="E795" t="s">
        <v>18</v>
      </c>
      <c r="F795" t="s">
        <v>31</v>
      </c>
      <c r="G795" s="2">
        <v>83517</v>
      </c>
      <c r="H795">
        <v>10</v>
      </c>
      <c r="I795" s="3">
        <v>0.1</v>
      </c>
      <c r="J795" s="2">
        <v>2136.2399999999998</v>
      </c>
    </row>
    <row r="796" spans="1:10" x14ac:dyDescent="0.35">
      <c r="A796" t="s">
        <v>821</v>
      </c>
      <c r="B796" s="1">
        <v>45601</v>
      </c>
      <c r="C796" t="s">
        <v>11</v>
      </c>
      <c r="D796" t="s">
        <v>17</v>
      </c>
      <c r="E796" t="s">
        <v>18</v>
      </c>
      <c r="F796" t="s">
        <v>19</v>
      </c>
      <c r="G796" s="2">
        <v>91736</v>
      </c>
      <c r="H796">
        <v>8</v>
      </c>
      <c r="I796" s="3">
        <v>0.15</v>
      </c>
      <c r="J796" s="2">
        <v>-938.45</v>
      </c>
    </row>
    <row r="797" spans="1:10" x14ac:dyDescent="0.35">
      <c r="A797" t="s">
        <v>822</v>
      </c>
      <c r="B797" s="1">
        <v>45652</v>
      </c>
      <c r="C797" t="s">
        <v>11</v>
      </c>
      <c r="D797" t="s">
        <v>17</v>
      </c>
      <c r="E797" t="s">
        <v>13</v>
      </c>
      <c r="F797" t="s">
        <v>19</v>
      </c>
      <c r="G797" s="2">
        <v>85581</v>
      </c>
      <c r="H797">
        <v>6</v>
      </c>
      <c r="I797" s="3">
        <v>0</v>
      </c>
      <c r="J797" s="2">
        <v>14198.59</v>
      </c>
    </row>
    <row r="798" spans="1:10" x14ac:dyDescent="0.35">
      <c r="A798" t="s">
        <v>823</v>
      </c>
      <c r="B798" s="1">
        <v>45648</v>
      </c>
      <c r="C798" t="s">
        <v>16</v>
      </c>
      <c r="D798" t="s">
        <v>12</v>
      </c>
      <c r="E798" t="s">
        <v>13</v>
      </c>
      <c r="F798" t="s">
        <v>24</v>
      </c>
      <c r="G798" s="2">
        <v>15934</v>
      </c>
      <c r="H798">
        <v>9</v>
      </c>
      <c r="I798" s="3">
        <v>0.05</v>
      </c>
      <c r="J798" s="2">
        <v>936.14</v>
      </c>
    </row>
    <row r="799" spans="1:10" x14ac:dyDescent="0.35">
      <c r="A799" t="s">
        <v>824</v>
      </c>
      <c r="B799" s="1">
        <v>45386</v>
      </c>
      <c r="C799" t="s">
        <v>16</v>
      </c>
      <c r="D799" t="s">
        <v>17</v>
      </c>
      <c r="E799" t="s">
        <v>18</v>
      </c>
      <c r="F799" t="s">
        <v>19</v>
      </c>
      <c r="G799" s="2">
        <v>91569</v>
      </c>
      <c r="H799">
        <v>2</v>
      </c>
      <c r="I799" s="3">
        <v>0.15</v>
      </c>
      <c r="J799" s="2">
        <v>-4577.03</v>
      </c>
    </row>
    <row r="800" spans="1:10" x14ac:dyDescent="0.35">
      <c r="A800" t="s">
        <v>825</v>
      </c>
      <c r="B800" s="1">
        <v>45524</v>
      </c>
      <c r="C800" t="s">
        <v>16</v>
      </c>
      <c r="D800" t="s">
        <v>28</v>
      </c>
      <c r="E800" t="s">
        <v>23</v>
      </c>
      <c r="F800" t="s">
        <v>31</v>
      </c>
      <c r="G800" s="2">
        <v>89648</v>
      </c>
      <c r="H800">
        <v>10</v>
      </c>
      <c r="I800" s="3">
        <v>0</v>
      </c>
      <c r="J800" s="2">
        <v>17005.02</v>
      </c>
    </row>
    <row r="801" spans="1:10" x14ac:dyDescent="0.35">
      <c r="A801" t="s">
        <v>826</v>
      </c>
      <c r="B801" s="1">
        <v>45602</v>
      </c>
      <c r="C801" t="s">
        <v>16</v>
      </c>
      <c r="D801" t="s">
        <v>22</v>
      </c>
      <c r="E801" t="s">
        <v>13</v>
      </c>
      <c r="F801" t="s">
        <v>19</v>
      </c>
      <c r="G801" s="2">
        <v>103434</v>
      </c>
      <c r="H801">
        <v>5</v>
      </c>
      <c r="I801" s="3">
        <v>0</v>
      </c>
      <c r="J801" s="2">
        <v>16765.439999999999</v>
      </c>
    </row>
    <row r="802" spans="1:10" x14ac:dyDescent="0.35">
      <c r="A802" t="s">
        <v>827</v>
      </c>
      <c r="B802" s="1">
        <v>45643</v>
      </c>
      <c r="C802" t="s">
        <v>21</v>
      </c>
      <c r="D802" t="s">
        <v>28</v>
      </c>
      <c r="E802" t="s">
        <v>13</v>
      </c>
      <c r="F802" t="s">
        <v>19</v>
      </c>
      <c r="G802" s="2">
        <v>63137</v>
      </c>
      <c r="H802">
        <v>6</v>
      </c>
      <c r="I802" s="3">
        <v>0.1</v>
      </c>
      <c r="J802" s="2">
        <v>6452.74</v>
      </c>
    </row>
    <row r="803" spans="1:10" x14ac:dyDescent="0.35">
      <c r="A803" t="s">
        <v>828</v>
      </c>
      <c r="B803" s="1">
        <v>45613</v>
      </c>
      <c r="C803" t="s">
        <v>21</v>
      </c>
      <c r="D803" t="s">
        <v>17</v>
      </c>
      <c r="E803" t="s">
        <v>13</v>
      </c>
      <c r="F803" t="s">
        <v>19</v>
      </c>
      <c r="G803" s="2">
        <v>86577</v>
      </c>
      <c r="H803">
        <v>1</v>
      </c>
      <c r="I803" s="3">
        <v>0</v>
      </c>
      <c r="J803" s="2">
        <v>10501.22</v>
      </c>
    </row>
    <row r="804" spans="1:10" x14ac:dyDescent="0.35">
      <c r="A804" t="s">
        <v>829</v>
      </c>
      <c r="B804" s="1">
        <v>45518</v>
      </c>
      <c r="C804" t="s">
        <v>11</v>
      </c>
      <c r="D804" t="s">
        <v>28</v>
      </c>
      <c r="E804" t="s">
        <v>23</v>
      </c>
      <c r="F804" t="s">
        <v>14</v>
      </c>
      <c r="G804" s="2">
        <v>40550</v>
      </c>
      <c r="H804">
        <v>3</v>
      </c>
      <c r="I804" s="3">
        <v>0.15</v>
      </c>
      <c r="J804" s="2">
        <v>138.46</v>
      </c>
    </row>
    <row r="805" spans="1:10" x14ac:dyDescent="0.35">
      <c r="A805" t="s">
        <v>830</v>
      </c>
      <c r="B805" s="1">
        <v>45365</v>
      </c>
      <c r="C805" t="s">
        <v>11</v>
      </c>
      <c r="D805" t="s">
        <v>28</v>
      </c>
      <c r="E805" t="s">
        <v>18</v>
      </c>
      <c r="F805" t="s">
        <v>33</v>
      </c>
      <c r="G805" s="2">
        <v>10474</v>
      </c>
      <c r="H805">
        <v>9</v>
      </c>
      <c r="I805" s="3">
        <v>0.1</v>
      </c>
      <c r="J805" s="2">
        <v>2.74</v>
      </c>
    </row>
    <row r="806" spans="1:10" x14ac:dyDescent="0.35">
      <c r="A806" t="s">
        <v>831</v>
      </c>
      <c r="B806" s="1">
        <v>45576</v>
      </c>
      <c r="C806" t="s">
        <v>16</v>
      </c>
      <c r="D806" t="s">
        <v>28</v>
      </c>
      <c r="E806" t="s">
        <v>18</v>
      </c>
      <c r="F806" t="s">
        <v>31</v>
      </c>
      <c r="G806" s="2">
        <v>149629</v>
      </c>
      <c r="H806">
        <v>9</v>
      </c>
      <c r="I806" s="3">
        <v>0.15</v>
      </c>
      <c r="J806" s="2">
        <v>8784.0300000000007</v>
      </c>
    </row>
    <row r="807" spans="1:10" x14ac:dyDescent="0.35">
      <c r="A807" t="s">
        <v>832</v>
      </c>
      <c r="B807" s="1">
        <v>45621</v>
      </c>
      <c r="C807" t="s">
        <v>21</v>
      </c>
      <c r="D807" t="s">
        <v>17</v>
      </c>
      <c r="E807" t="s">
        <v>23</v>
      </c>
      <c r="F807" t="s">
        <v>31</v>
      </c>
      <c r="G807" s="2">
        <v>12459</v>
      </c>
      <c r="H807">
        <v>2</v>
      </c>
      <c r="I807" s="3">
        <v>0</v>
      </c>
      <c r="J807" s="2">
        <v>1648.88</v>
      </c>
    </row>
    <row r="808" spans="1:10" x14ac:dyDescent="0.35">
      <c r="A808" t="s">
        <v>833</v>
      </c>
      <c r="B808" s="1">
        <v>45304</v>
      </c>
      <c r="C808" t="s">
        <v>11</v>
      </c>
      <c r="D808" t="s">
        <v>22</v>
      </c>
      <c r="E808" t="s">
        <v>23</v>
      </c>
      <c r="F808" t="s">
        <v>19</v>
      </c>
      <c r="G808" s="2">
        <v>117189</v>
      </c>
      <c r="H808">
        <v>1</v>
      </c>
      <c r="I808" s="3">
        <v>0.1</v>
      </c>
      <c r="J808" s="2">
        <v>13584.51</v>
      </c>
    </row>
    <row r="809" spans="1:10" x14ac:dyDescent="0.35">
      <c r="A809" t="s">
        <v>834</v>
      </c>
      <c r="B809" s="1">
        <v>45456</v>
      </c>
      <c r="C809" t="s">
        <v>16</v>
      </c>
      <c r="D809" t="s">
        <v>22</v>
      </c>
      <c r="E809" t="s">
        <v>23</v>
      </c>
      <c r="F809" t="s">
        <v>33</v>
      </c>
      <c r="G809" s="2">
        <v>29153</v>
      </c>
      <c r="H809">
        <v>7</v>
      </c>
      <c r="I809" s="3">
        <v>0.15</v>
      </c>
      <c r="J809" s="2">
        <v>-650.64</v>
      </c>
    </row>
    <row r="810" spans="1:10" x14ac:dyDescent="0.35">
      <c r="A810" t="s">
        <v>835</v>
      </c>
      <c r="B810" s="1">
        <v>45570</v>
      </c>
      <c r="C810" t="s">
        <v>21</v>
      </c>
      <c r="D810" t="s">
        <v>28</v>
      </c>
      <c r="E810" t="s">
        <v>18</v>
      </c>
      <c r="F810" t="s">
        <v>26</v>
      </c>
      <c r="G810" s="2">
        <v>102804</v>
      </c>
      <c r="H810">
        <v>9</v>
      </c>
      <c r="I810" s="3">
        <v>0.15</v>
      </c>
      <c r="J810" s="2">
        <v>8898.57</v>
      </c>
    </row>
    <row r="811" spans="1:10" x14ac:dyDescent="0.35">
      <c r="A811" t="s">
        <v>836</v>
      </c>
      <c r="B811" s="1">
        <v>45371</v>
      </c>
      <c r="C811" t="s">
        <v>11</v>
      </c>
      <c r="D811" t="s">
        <v>17</v>
      </c>
      <c r="E811" t="s">
        <v>23</v>
      </c>
      <c r="F811" t="s">
        <v>33</v>
      </c>
      <c r="G811" s="2">
        <v>36465</v>
      </c>
      <c r="H811">
        <v>9</v>
      </c>
      <c r="I811" s="3">
        <v>0.05</v>
      </c>
      <c r="J811" s="2">
        <v>5918.92</v>
      </c>
    </row>
    <row r="812" spans="1:10" x14ac:dyDescent="0.35">
      <c r="A812" t="s">
        <v>837</v>
      </c>
      <c r="B812" s="1">
        <v>45446</v>
      </c>
      <c r="C812" t="s">
        <v>16</v>
      </c>
      <c r="D812" t="s">
        <v>17</v>
      </c>
      <c r="E812" t="s">
        <v>13</v>
      </c>
      <c r="F812" t="s">
        <v>26</v>
      </c>
      <c r="G812" s="2">
        <v>127847</v>
      </c>
      <c r="H812">
        <v>6</v>
      </c>
      <c r="I812" s="3">
        <v>0.15</v>
      </c>
      <c r="J812" s="2">
        <v>7023.46</v>
      </c>
    </row>
    <row r="813" spans="1:10" x14ac:dyDescent="0.35">
      <c r="A813" t="s">
        <v>838</v>
      </c>
      <c r="B813" s="1">
        <v>45563</v>
      </c>
      <c r="C813" t="s">
        <v>11</v>
      </c>
      <c r="D813" t="s">
        <v>22</v>
      </c>
      <c r="E813" t="s">
        <v>23</v>
      </c>
      <c r="F813" t="s">
        <v>31</v>
      </c>
      <c r="G813" s="2">
        <v>69080</v>
      </c>
      <c r="H813">
        <v>4</v>
      </c>
      <c r="I813" s="3">
        <v>0.1</v>
      </c>
      <c r="J813" s="2">
        <v>2087.3200000000002</v>
      </c>
    </row>
    <row r="814" spans="1:10" x14ac:dyDescent="0.35">
      <c r="A814" t="s">
        <v>839</v>
      </c>
      <c r="B814" s="1">
        <v>45555</v>
      </c>
      <c r="C814" t="s">
        <v>16</v>
      </c>
      <c r="D814" t="s">
        <v>22</v>
      </c>
      <c r="E814" t="s">
        <v>18</v>
      </c>
      <c r="F814" t="s">
        <v>26</v>
      </c>
      <c r="G814" s="2">
        <v>58914</v>
      </c>
      <c r="H814">
        <v>2</v>
      </c>
      <c r="I814" s="3">
        <v>0.1</v>
      </c>
      <c r="J814" s="2">
        <v>7845.2</v>
      </c>
    </row>
    <row r="815" spans="1:10" x14ac:dyDescent="0.35">
      <c r="A815" t="s">
        <v>840</v>
      </c>
      <c r="B815" s="1">
        <v>45498</v>
      </c>
      <c r="C815" t="s">
        <v>11</v>
      </c>
      <c r="D815" t="s">
        <v>22</v>
      </c>
      <c r="E815" t="s">
        <v>13</v>
      </c>
      <c r="F815" t="s">
        <v>31</v>
      </c>
      <c r="G815" s="2">
        <v>128251</v>
      </c>
      <c r="H815">
        <v>2</v>
      </c>
      <c r="I815" s="3">
        <v>0</v>
      </c>
      <c r="J815" s="2">
        <v>30446.79</v>
      </c>
    </row>
    <row r="816" spans="1:10" x14ac:dyDescent="0.35">
      <c r="A816" t="s">
        <v>841</v>
      </c>
      <c r="B816" s="1">
        <v>45449</v>
      </c>
      <c r="C816" t="s">
        <v>21</v>
      </c>
      <c r="D816" t="s">
        <v>12</v>
      </c>
      <c r="E816" t="s">
        <v>13</v>
      </c>
      <c r="F816" t="s">
        <v>19</v>
      </c>
      <c r="G816" s="2">
        <v>128014</v>
      </c>
      <c r="H816">
        <v>10</v>
      </c>
      <c r="I816" s="3">
        <v>0</v>
      </c>
      <c r="J816" s="2">
        <v>31205.86</v>
      </c>
    </row>
    <row r="817" spans="1:10" x14ac:dyDescent="0.35">
      <c r="A817" t="s">
        <v>842</v>
      </c>
      <c r="B817" s="1">
        <v>45336</v>
      </c>
      <c r="C817" t="s">
        <v>21</v>
      </c>
      <c r="D817" t="s">
        <v>28</v>
      </c>
      <c r="E817" t="s">
        <v>18</v>
      </c>
      <c r="F817" t="s">
        <v>14</v>
      </c>
      <c r="G817" s="2">
        <v>52300</v>
      </c>
      <c r="H817">
        <v>9</v>
      </c>
      <c r="I817" s="3">
        <v>0.1</v>
      </c>
      <c r="J817" s="2">
        <v>1971.34</v>
      </c>
    </row>
    <row r="818" spans="1:10" x14ac:dyDescent="0.35">
      <c r="A818" t="s">
        <v>843</v>
      </c>
      <c r="B818" s="1">
        <v>45367</v>
      </c>
      <c r="C818" t="s">
        <v>11</v>
      </c>
      <c r="D818" t="s">
        <v>22</v>
      </c>
      <c r="E818" t="s">
        <v>23</v>
      </c>
      <c r="F818" t="s">
        <v>31</v>
      </c>
      <c r="G818" s="2">
        <v>141973</v>
      </c>
      <c r="H818">
        <v>5</v>
      </c>
      <c r="I818" s="3">
        <v>0.1</v>
      </c>
      <c r="J818" s="2">
        <v>19173.810000000001</v>
      </c>
    </row>
    <row r="819" spans="1:10" x14ac:dyDescent="0.35">
      <c r="A819" t="s">
        <v>844</v>
      </c>
      <c r="B819" s="1">
        <v>45478</v>
      </c>
      <c r="C819" t="s">
        <v>21</v>
      </c>
      <c r="D819" t="s">
        <v>17</v>
      </c>
      <c r="E819" t="s">
        <v>13</v>
      </c>
      <c r="F819" t="s">
        <v>31</v>
      </c>
      <c r="G819" s="2">
        <v>56385</v>
      </c>
      <c r="H819">
        <v>2</v>
      </c>
      <c r="I819" s="3">
        <v>0.1</v>
      </c>
      <c r="J819" s="2">
        <v>5244.03</v>
      </c>
    </row>
    <row r="820" spans="1:10" x14ac:dyDescent="0.35">
      <c r="A820" t="s">
        <v>845</v>
      </c>
      <c r="B820" s="1">
        <v>45573</v>
      </c>
      <c r="C820" t="s">
        <v>21</v>
      </c>
      <c r="D820" t="s">
        <v>12</v>
      </c>
      <c r="E820" t="s">
        <v>18</v>
      </c>
      <c r="F820" t="s">
        <v>26</v>
      </c>
      <c r="G820" s="2">
        <v>133710</v>
      </c>
      <c r="H820">
        <v>6</v>
      </c>
      <c r="I820" s="3">
        <v>0</v>
      </c>
      <c r="J820" s="2">
        <v>16761.169999999998</v>
      </c>
    </row>
    <row r="821" spans="1:10" x14ac:dyDescent="0.35">
      <c r="A821" t="s">
        <v>846</v>
      </c>
      <c r="B821" s="1">
        <v>45643</v>
      </c>
      <c r="C821" t="s">
        <v>21</v>
      </c>
      <c r="D821" t="s">
        <v>28</v>
      </c>
      <c r="E821" t="s">
        <v>18</v>
      </c>
      <c r="F821" t="s">
        <v>40</v>
      </c>
      <c r="G821" s="2">
        <v>141701</v>
      </c>
      <c r="H821">
        <v>7</v>
      </c>
      <c r="I821" s="3">
        <v>0</v>
      </c>
      <c r="J821" s="2">
        <v>24896.13</v>
      </c>
    </row>
    <row r="822" spans="1:10" x14ac:dyDescent="0.35">
      <c r="A822" t="s">
        <v>847</v>
      </c>
      <c r="B822" s="1">
        <v>45318</v>
      </c>
      <c r="C822" t="s">
        <v>21</v>
      </c>
      <c r="D822" t="s">
        <v>17</v>
      </c>
      <c r="E822" t="s">
        <v>23</v>
      </c>
      <c r="F822" t="s">
        <v>33</v>
      </c>
      <c r="G822" s="2">
        <v>40786</v>
      </c>
      <c r="H822">
        <v>5</v>
      </c>
      <c r="I822" s="3">
        <v>0.15</v>
      </c>
      <c r="J822" s="2">
        <v>1025.9000000000001</v>
      </c>
    </row>
    <row r="823" spans="1:10" x14ac:dyDescent="0.35">
      <c r="A823" t="s">
        <v>848</v>
      </c>
      <c r="B823" s="1">
        <v>45590</v>
      </c>
      <c r="C823" t="s">
        <v>11</v>
      </c>
      <c r="D823" t="s">
        <v>17</v>
      </c>
      <c r="E823" t="s">
        <v>18</v>
      </c>
      <c r="F823" t="s">
        <v>14</v>
      </c>
      <c r="G823" s="2">
        <v>135845</v>
      </c>
      <c r="H823">
        <v>6</v>
      </c>
      <c r="I823" s="3">
        <v>0</v>
      </c>
      <c r="J823" s="2">
        <v>11063.67</v>
      </c>
    </row>
    <row r="824" spans="1:10" x14ac:dyDescent="0.35">
      <c r="A824" t="s">
        <v>849</v>
      </c>
      <c r="B824" s="1">
        <v>45454</v>
      </c>
      <c r="C824" t="s">
        <v>21</v>
      </c>
      <c r="D824" t="s">
        <v>28</v>
      </c>
      <c r="E824" t="s">
        <v>23</v>
      </c>
      <c r="F824" t="s">
        <v>24</v>
      </c>
      <c r="G824" s="2">
        <v>110857</v>
      </c>
      <c r="H824">
        <v>3</v>
      </c>
      <c r="I824" s="3">
        <v>0</v>
      </c>
      <c r="J824" s="2">
        <v>24923.78</v>
      </c>
    </row>
    <row r="825" spans="1:10" x14ac:dyDescent="0.35">
      <c r="A825" t="s">
        <v>850</v>
      </c>
      <c r="B825" s="1">
        <v>45577</v>
      </c>
      <c r="C825" t="s">
        <v>16</v>
      </c>
      <c r="D825" t="s">
        <v>28</v>
      </c>
      <c r="E825" t="s">
        <v>23</v>
      </c>
      <c r="F825" t="s">
        <v>24</v>
      </c>
      <c r="G825" s="2">
        <v>54516</v>
      </c>
      <c r="H825">
        <v>2</v>
      </c>
      <c r="I825" s="3">
        <v>0</v>
      </c>
      <c r="J825" s="2">
        <v>7227.69</v>
      </c>
    </row>
    <row r="826" spans="1:10" x14ac:dyDescent="0.35">
      <c r="A826" t="s">
        <v>851</v>
      </c>
      <c r="B826" s="1">
        <v>45650</v>
      </c>
      <c r="C826" t="s">
        <v>11</v>
      </c>
      <c r="D826" t="s">
        <v>28</v>
      </c>
      <c r="E826" t="s">
        <v>18</v>
      </c>
      <c r="F826" t="s">
        <v>40</v>
      </c>
      <c r="G826" s="2">
        <v>81251</v>
      </c>
      <c r="H826">
        <v>4</v>
      </c>
      <c r="I826" s="3">
        <v>0.05</v>
      </c>
      <c r="J826" s="2">
        <v>4250.2299999999996</v>
      </c>
    </row>
    <row r="827" spans="1:10" x14ac:dyDescent="0.35">
      <c r="A827" t="s">
        <v>852</v>
      </c>
      <c r="B827" s="1">
        <v>45530</v>
      </c>
      <c r="C827" t="s">
        <v>21</v>
      </c>
      <c r="D827" t="s">
        <v>17</v>
      </c>
      <c r="E827" t="s">
        <v>13</v>
      </c>
      <c r="F827" t="s">
        <v>26</v>
      </c>
      <c r="G827" s="2">
        <v>56462</v>
      </c>
      <c r="H827">
        <v>5</v>
      </c>
      <c r="I827" s="3">
        <v>0.05</v>
      </c>
      <c r="J827" s="2">
        <v>8116.04</v>
      </c>
    </row>
    <row r="828" spans="1:10" x14ac:dyDescent="0.35">
      <c r="A828" t="s">
        <v>853</v>
      </c>
      <c r="B828" s="1">
        <v>45507</v>
      </c>
      <c r="C828" t="s">
        <v>21</v>
      </c>
      <c r="D828" t="s">
        <v>22</v>
      </c>
      <c r="E828" t="s">
        <v>23</v>
      </c>
      <c r="F828" t="s">
        <v>14</v>
      </c>
      <c r="G828" s="2">
        <v>132956</v>
      </c>
      <c r="H828">
        <v>2</v>
      </c>
      <c r="I828" s="3">
        <v>0</v>
      </c>
      <c r="J828" s="2">
        <v>31107.57</v>
      </c>
    </row>
    <row r="829" spans="1:10" x14ac:dyDescent="0.35">
      <c r="A829" t="s">
        <v>854</v>
      </c>
      <c r="B829" s="1">
        <v>45467</v>
      </c>
      <c r="C829" t="s">
        <v>16</v>
      </c>
      <c r="D829" t="s">
        <v>17</v>
      </c>
      <c r="E829" t="s">
        <v>18</v>
      </c>
      <c r="F829" t="s">
        <v>31</v>
      </c>
      <c r="G829" s="2">
        <v>82705</v>
      </c>
      <c r="H829">
        <v>3</v>
      </c>
      <c r="I829" s="3">
        <v>0.05</v>
      </c>
      <c r="J829" s="2">
        <v>13366.17</v>
      </c>
    </row>
    <row r="830" spans="1:10" x14ac:dyDescent="0.35">
      <c r="A830" t="s">
        <v>855</v>
      </c>
      <c r="B830" s="1">
        <v>45532</v>
      </c>
      <c r="C830" t="s">
        <v>21</v>
      </c>
      <c r="D830" t="s">
        <v>28</v>
      </c>
      <c r="E830" t="s">
        <v>18</v>
      </c>
      <c r="F830" t="s">
        <v>14</v>
      </c>
      <c r="G830" s="2">
        <v>52825</v>
      </c>
      <c r="H830">
        <v>9</v>
      </c>
      <c r="I830" s="3">
        <v>0</v>
      </c>
      <c r="J830" s="2">
        <v>11775.8</v>
      </c>
    </row>
    <row r="831" spans="1:10" x14ac:dyDescent="0.35">
      <c r="A831" t="s">
        <v>856</v>
      </c>
      <c r="B831" s="1">
        <v>45449</v>
      </c>
      <c r="C831" t="s">
        <v>11</v>
      </c>
      <c r="D831" t="s">
        <v>28</v>
      </c>
      <c r="E831" t="s">
        <v>23</v>
      </c>
      <c r="F831" t="s">
        <v>40</v>
      </c>
      <c r="G831" s="2">
        <v>42227</v>
      </c>
      <c r="H831">
        <v>7</v>
      </c>
      <c r="I831" s="3">
        <v>0.05</v>
      </c>
      <c r="J831" s="2">
        <v>7563.15</v>
      </c>
    </row>
    <row r="832" spans="1:10" x14ac:dyDescent="0.35">
      <c r="A832" t="s">
        <v>857</v>
      </c>
      <c r="B832" s="1">
        <v>45548</v>
      </c>
      <c r="C832" t="s">
        <v>16</v>
      </c>
      <c r="D832" t="s">
        <v>22</v>
      </c>
      <c r="E832" t="s">
        <v>13</v>
      </c>
      <c r="F832" t="s">
        <v>33</v>
      </c>
      <c r="G832" s="2">
        <v>102199</v>
      </c>
      <c r="H832">
        <v>6</v>
      </c>
      <c r="I832" s="3">
        <v>0.05</v>
      </c>
      <c r="J832" s="2">
        <v>12735.8</v>
      </c>
    </row>
    <row r="833" spans="1:10" x14ac:dyDescent="0.35">
      <c r="A833" t="s">
        <v>858</v>
      </c>
      <c r="B833" s="1">
        <v>45619</v>
      </c>
      <c r="C833" t="s">
        <v>11</v>
      </c>
      <c r="D833" t="s">
        <v>22</v>
      </c>
      <c r="E833" t="s">
        <v>23</v>
      </c>
      <c r="F833" t="s">
        <v>24</v>
      </c>
      <c r="G833" s="2">
        <v>66771</v>
      </c>
      <c r="H833">
        <v>1</v>
      </c>
      <c r="I833" s="3">
        <v>0.15</v>
      </c>
      <c r="J833" s="2">
        <v>40.479999999999997</v>
      </c>
    </row>
    <row r="834" spans="1:10" x14ac:dyDescent="0.35">
      <c r="A834" t="s">
        <v>859</v>
      </c>
      <c r="B834" s="1">
        <v>45612</v>
      </c>
      <c r="C834" t="s">
        <v>21</v>
      </c>
      <c r="D834" t="s">
        <v>12</v>
      </c>
      <c r="E834" t="s">
        <v>13</v>
      </c>
      <c r="F834" t="s">
        <v>14</v>
      </c>
      <c r="G834" s="2">
        <v>39842</v>
      </c>
      <c r="H834">
        <v>4</v>
      </c>
      <c r="I834" s="3">
        <v>0.05</v>
      </c>
      <c r="J834" s="2">
        <v>4129.18</v>
      </c>
    </row>
    <row r="835" spans="1:10" x14ac:dyDescent="0.35">
      <c r="A835" t="s">
        <v>860</v>
      </c>
      <c r="B835" s="1">
        <v>45407</v>
      </c>
      <c r="C835" t="s">
        <v>11</v>
      </c>
      <c r="D835" t="s">
        <v>17</v>
      </c>
      <c r="E835" t="s">
        <v>13</v>
      </c>
      <c r="F835" t="s">
        <v>19</v>
      </c>
      <c r="G835" s="2">
        <v>54217</v>
      </c>
      <c r="H835">
        <v>1</v>
      </c>
      <c r="I835" s="3">
        <v>0</v>
      </c>
      <c r="J835" s="2">
        <v>9246.2199999999993</v>
      </c>
    </row>
    <row r="836" spans="1:10" x14ac:dyDescent="0.35">
      <c r="A836" t="s">
        <v>861</v>
      </c>
      <c r="B836" s="1">
        <v>45526</v>
      </c>
      <c r="C836" t="s">
        <v>16</v>
      </c>
      <c r="D836" t="s">
        <v>28</v>
      </c>
      <c r="E836" t="s">
        <v>18</v>
      </c>
      <c r="F836" t="s">
        <v>14</v>
      </c>
      <c r="G836" s="2">
        <v>70349</v>
      </c>
      <c r="H836">
        <v>4</v>
      </c>
      <c r="I836" s="3">
        <v>0.1</v>
      </c>
      <c r="J836" s="2">
        <v>5674.24</v>
      </c>
    </row>
    <row r="837" spans="1:10" x14ac:dyDescent="0.35">
      <c r="A837" t="s">
        <v>862</v>
      </c>
      <c r="B837" s="1">
        <v>45344</v>
      </c>
      <c r="C837" t="s">
        <v>16</v>
      </c>
      <c r="D837" t="s">
        <v>22</v>
      </c>
      <c r="E837" t="s">
        <v>23</v>
      </c>
      <c r="F837" t="s">
        <v>19</v>
      </c>
      <c r="G837" s="2">
        <v>10983</v>
      </c>
      <c r="H837">
        <v>7</v>
      </c>
      <c r="I837" s="3">
        <v>0.05</v>
      </c>
      <c r="J837" s="2">
        <v>667.6</v>
      </c>
    </row>
    <row r="838" spans="1:10" x14ac:dyDescent="0.35">
      <c r="A838" t="s">
        <v>863</v>
      </c>
      <c r="B838" s="1">
        <v>45424</v>
      </c>
      <c r="C838" t="s">
        <v>16</v>
      </c>
      <c r="D838" t="s">
        <v>28</v>
      </c>
      <c r="E838" t="s">
        <v>13</v>
      </c>
      <c r="F838" t="s">
        <v>19</v>
      </c>
      <c r="G838" s="2">
        <v>147007</v>
      </c>
      <c r="H838">
        <v>2</v>
      </c>
      <c r="I838" s="3">
        <v>0.15</v>
      </c>
      <c r="J838" s="2">
        <v>6185.72</v>
      </c>
    </row>
    <row r="839" spans="1:10" x14ac:dyDescent="0.35">
      <c r="A839" t="s">
        <v>864</v>
      </c>
      <c r="B839" s="1">
        <v>45431</v>
      </c>
      <c r="C839" t="s">
        <v>16</v>
      </c>
      <c r="D839" t="s">
        <v>12</v>
      </c>
      <c r="E839" t="s">
        <v>23</v>
      </c>
      <c r="F839" t="s">
        <v>19</v>
      </c>
      <c r="G839" s="2">
        <v>94840</v>
      </c>
      <c r="H839">
        <v>8</v>
      </c>
      <c r="I839" s="3">
        <v>0</v>
      </c>
      <c r="J839" s="2">
        <v>13129.44</v>
      </c>
    </row>
    <row r="840" spans="1:10" x14ac:dyDescent="0.35">
      <c r="A840" t="s">
        <v>865</v>
      </c>
      <c r="B840" s="1">
        <v>45299</v>
      </c>
      <c r="C840" t="s">
        <v>11</v>
      </c>
      <c r="D840" t="s">
        <v>12</v>
      </c>
      <c r="E840" t="s">
        <v>18</v>
      </c>
      <c r="F840" t="s">
        <v>31</v>
      </c>
      <c r="G840" s="2">
        <v>66318</v>
      </c>
      <c r="H840">
        <v>2</v>
      </c>
      <c r="I840" s="3">
        <v>0.15</v>
      </c>
      <c r="J840" s="2">
        <v>4746.1899999999996</v>
      </c>
    </row>
    <row r="841" spans="1:10" x14ac:dyDescent="0.35">
      <c r="A841" t="s">
        <v>866</v>
      </c>
      <c r="B841" s="1">
        <v>45563</v>
      </c>
      <c r="C841" t="s">
        <v>16</v>
      </c>
      <c r="D841" t="s">
        <v>22</v>
      </c>
      <c r="E841" t="s">
        <v>18</v>
      </c>
      <c r="F841" t="s">
        <v>33</v>
      </c>
      <c r="G841" s="2">
        <v>104428</v>
      </c>
      <c r="H841">
        <v>1</v>
      </c>
      <c r="I841" s="3">
        <v>0.1</v>
      </c>
      <c r="J841" s="2">
        <v>5289.12</v>
      </c>
    </row>
    <row r="842" spans="1:10" x14ac:dyDescent="0.35">
      <c r="A842" t="s">
        <v>867</v>
      </c>
      <c r="B842" s="1">
        <v>45301</v>
      </c>
      <c r="C842" t="s">
        <v>21</v>
      </c>
      <c r="D842" t="s">
        <v>22</v>
      </c>
      <c r="E842" t="s">
        <v>13</v>
      </c>
      <c r="F842" t="s">
        <v>19</v>
      </c>
      <c r="G842" s="2">
        <v>66508</v>
      </c>
      <c r="H842">
        <v>1</v>
      </c>
      <c r="I842" s="3">
        <v>0</v>
      </c>
      <c r="J842" s="2">
        <v>5741.52</v>
      </c>
    </row>
    <row r="843" spans="1:10" x14ac:dyDescent="0.35">
      <c r="A843" t="s">
        <v>868</v>
      </c>
      <c r="B843" s="1">
        <v>45589</v>
      </c>
      <c r="C843" t="s">
        <v>21</v>
      </c>
      <c r="D843" t="s">
        <v>28</v>
      </c>
      <c r="E843" t="s">
        <v>23</v>
      </c>
      <c r="F843" t="s">
        <v>31</v>
      </c>
      <c r="G843" s="2">
        <v>60150</v>
      </c>
      <c r="H843">
        <v>1</v>
      </c>
      <c r="I843" s="3">
        <v>0</v>
      </c>
      <c r="J843" s="2">
        <v>10307.32</v>
      </c>
    </row>
    <row r="844" spans="1:10" x14ac:dyDescent="0.35">
      <c r="A844" t="s">
        <v>869</v>
      </c>
      <c r="B844" s="1">
        <v>45509</v>
      </c>
      <c r="C844" t="s">
        <v>11</v>
      </c>
      <c r="D844" t="s">
        <v>22</v>
      </c>
      <c r="E844" t="s">
        <v>13</v>
      </c>
      <c r="F844" t="s">
        <v>40</v>
      </c>
      <c r="G844" s="2">
        <v>76435</v>
      </c>
      <c r="H844">
        <v>1</v>
      </c>
      <c r="I844" s="3">
        <v>0</v>
      </c>
      <c r="J844" s="2">
        <v>5508.75</v>
      </c>
    </row>
    <row r="845" spans="1:10" x14ac:dyDescent="0.35">
      <c r="A845" t="s">
        <v>870</v>
      </c>
      <c r="B845" s="1">
        <v>45642</v>
      </c>
      <c r="C845" t="s">
        <v>16</v>
      </c>
      <c r="D845" t="s">
        <v>17</v>
      </c>
      <c r="E845" t="s">
        <v>13</v>
      </c>
      <c r="F845" t="s">
        <v>24</v>
      </c>
      <c r="G845" s="2">
        <v>18445</v>
      </c>
      <c r="H845">
        <v>8</v>
      </c>
      <c r="I845" s="3">
        <v>0.05</v>
      </c>
      <c r="J845" s="2">
        <v>3024.21</v>
      </c>
    </row>
    <row r="846" spans="1:10" x14ac:dyDescent="0.35">
      <c r="A846" t="s">
        <v>871</v>
      </c>
      <c r="B846" s="1">
        <v>45444</v>
      </c>
      <c r="C846" t="s">
        <v>21</v>
      </c>
      <c r="D846" t="s">
        <v>22</v>
      </c>
      <c r="E846" t="s">
        <v>18</v>
      </c>
      <c r="F846" t="s">
        <v>19</v>
      </c>
      <c r="G846" s="2">
        <v>104987</v>
      </c>
      <c r="H846">
        <v>3</v>
      </c>
      <c r="I846" s="3">
        <v>0.1</v>
      </c>
      <c r="J846" s="2">
        <v>7133.36</v>
      </c>
    </row>
    <row r="847" spans="1:10" x14ac:dyDescent="0.35">
      <c r="A847" t="s">
        <v>872</v>
      </c>
      <c r="B847" s="1">
        <v>45298</v>
      </c>
      <c r="C847" t="s">
        <v>11</v>
      </c>
      <c r="D847" t="s">
        <v>22</v>
      </c>
      <c r="E847" t="s">
        <v>23</v>
      </c>
      <c r="F847" t="s">
        <v>19</v>
      </c>
      <c r="G847" s="2">
        <v>77774</v>
      </c>
      <c r="H847">
        <v>7</v>
      </c>
      <c r="I847" s="3">
        <v>0.15</v>
      </c>
      <c r="J847" s="2">
        <v>-5775.36</v>
      </c>
    </row>
    <row r="848" spans="1:10" x14ac:dyDescent="0.35">
      <c r="A848" t="s">
        <v>873</v>
      </c>
      <c r="B848" s="1">
        <v>45437</v>
      </c>
      <c r="C848" t="s">
        <v>11</v>
      </c>
      <c r="D848" t="s">
        <v>22</v>
      </c>
      <c r="E848" t="s">
        <v>13</v>
      </c>
      <c r="F848" t="s">
        <v>26</v>
      </c>
      <c r="G848" s="2">
        <v>62670</v>
      </c>
      <c r="H848">
        <v>2</v>
      </c>
      <c r="I848" s="3">
        <v>0.15</v>
      </c>
      <c r="J848" s="2">
        <v>-5842.61</v>
      </c>
    </row>
    <row r="849" spans="1:10" x14ac:dyDescent="0.35">
      <c r="A849" t="s">
        <v>874</v>
      </c>
      <c r="B849" s="1">
        <v>45645</v>
      </c>
      <c r="C849" t="s">
        <v>21</v>
      </c>
      <c r="D849" t="s">
        <v>12</v>
      </c>
      <c r="E849" t="s">
        <v>23</v>
      </c>
      <c r="F849" t="s">
        <v>24</v>
      </c>
      <c r="G849" s="2">
        <v>10315</v>
      </c>
      <c r="H849">
        <v>2</v>
      </c>
      <c r="I849" s="3">
        <v>0.1</v>
      </c>
      <c r="J849" s="2">
        <v>-419.11</v>
      </c>
    </row>
    <row r="850" spans="1:10" x14ac:dyDescent="0.35">
      <c r="A850" t="s">
        <v>875</v>
      </c>
      <c r="B850" s="1">
        <v>45307</v>
      </c>
      <c r="C850" t="s">
        <v>11</v>
      </c>
      <c r="D850" t="s">
        <v>17</v>
      </c>
      <c r="E850" t="s">
        <v>23</v>
      </c>
      <c r="F850" t="s">
        <v>26</v>
      </c>
      <c r="G850" s="2">
        <v>16032</v>
      </c>
      <c r="H850">
        <v>5</v>
      </c>
      <c r="I850" s="3">
        <v>0.05</v>
      </c>
      <c r="J850" s="2">
        <v>1911.27</v>
      </c>
    </row>
    <row r="851" spans="1:10" x14ac:dyDescent="0.35">
      <c r="A851" t="s">
        <v>876</v>
      </c>
      <c r="B851" s="1">
        <v>45509</v>
      </c>
      <c r="C851" t="s">
        <v>11</v>
      </c>
      <c r="D851" t="s">
        <v>17</v>
      </c>
      <c r="E851" t="s">
        <v>13</v>
      </c>
      <c r="F851" t="s">
        <v>31</v>
      </c>
      <c r="G851" s="2">
        <v>116855</v>
      </c>
      <c r="H851">
        <v>4</v>
      </c>
      <c r="I851" s="3">
        <v>0.05</v>
      </c>
      <c r="J851" s="2">
        <v>14430.86</v>
      </c>
    </row>
    <row r="852" spans="1:10" x14ac:dyDescent="0.35">
      <c r="A852" t="s">
        <v>877</v>
      </c>
      <c r="B852" s="1">
        <v>45385</v>
      </c>
      <c r="C852" t="s">
        <v>16</v>
      </c>
      <c r="D852" t="s">
        <v>22</v>
      </c>
      <c r="E852" t="s">
        <v>23</v>
      </c>
      <c r="F852" t="s">
        <v>19</v>
      </c>
      <c r="G852" s="2">
        <v>85739</v>
      </c>
      <c r="H852">
        <v>6</v>
      </c>
      <c r="I852" s="3">
        <v>0.05</v>
      </c>
      <c r="J852" s="2">
        <v>11152.1</v>
      </c>
    </row>
    <row r="853" spans="1:10" x14ac:dyDescent="0.35">
      <c r="A853" t="s">
        <v>878</v>
      </c>
      <c r="B853" s="1">
        <v>45333</v>
      </c>
      <c r="C853" t="s">
        <v>11</v>
      </c>
      <c r="D853" t="s">
        <v>12</v>
      </c>
      <c r="E853" t="s">
        <v>13</v>
      </c>
      <c r="F853" t="s">
        <v>24</v>
      </c>
      <c r="G853" s="2">
        <v>5221</v>
      </c>
      <c r="H853">
        <v>9</v>
      </c>
      <c r="I853" s="3">
        <v>0.1</v>
      </c>
      <c r="J853" s="2">
        <v>-214.86</v>
      </c>
    </row>
    <row r="854" spans="1:10" x14ac:dyDescent="0.35">
      <c r="A854" t="s">
        <v>879</v>
      </c>
      <c r="B854" s="1">
        <v>45573</v>
      </c>
      <c r="C854" t="s">
        <v>11</v>
      </c>
      <c r="D854" t="s">
        <v>17</v>
      </c>
      <c r="E854" t="s">
        <v>13</v>
      </c>
      <c r="F854" t="s">
        <v>31</v>
      </c>
      <c r="G854" s="2">
        <v>16837</v>
      </c>
      <c r="H854">
        <v>9</v>
      </c>
      <c r="I854" s="3">
        <v>0.1</v>
      </c>
      <c r="J854" s="2">
        <v>2187.36</v>
      </c>
    </row>
    <row r="855" spans="1:10" x14ac:dyDescent="0.35">
      <c r="A855" t="s">
        <v>880</v>
      </c>
      <c r="B855" s="1">
        <v>45298</v>
      </c>
      <c r="C855" t="s">
        <v>16</v>
      </c>
      <c r="D855" t="s">
        <v>28</v>
      </c>
      <c r="E855" t="s">
        <v>13</v>
      </c>
      <c r="F855" t="s">
        <v>31</v>
      </c>
      <c r="G855" s="2">
        <v>87243</v>
      </c>
      <c r="H855">
        <v>1</v>
      </c>
      <c r="I855" s="3">
        <v>0.1</v>
      </c>
      <c r="J855" s="2">
        <v>871.94</v>
      </c>
    </row>
    <row r="856" spans="1:10" x14ac:dyDescent="0.35">
      <c r="A856" t="s">
        <v>881</v>
      </c>
      <c r="B856" s="1">
        <v>45410</v>
      </c>
      <c r="C856" t="s">
        <v>11</v>
      </c>
      <c r="D856" t="s">
        <v>28</v>
      </c>
      <c r="E856" t="s">
        <v>23</v>
      </c>
      <c r="F856" t="s">
        <v>31</v>
      </c>
      <c r="G856" s="2">
        <v>32863</v>
      </c>
      <c r="H856">
        <v>9</v>
      </c>
      <c r="I856" s="3">
        <v>0.05</v>
      </c>
      <c r="J856" s="2">
        <v>5059.8599999999997</v>
      </c>
    </row>
    <row r="857" spans="1:10" x14ac:dyDescent="0.35">
      <c r="A857" t="s">
        <v>882</v>
      </c>
      <c r="B857" s="1">
        <v>45329</v>
      </c>
      <c r="C857" t="s">
        <v>11</v>
      </c>
      <c r="D857" t="s">
        <v>28</v>
      </c>
      <c r="E857" t="s">
        <v>23</v>
      </c>
      <c r="F857" t="s">
        <v>26</v>
      </c>
      <c r="G857" s="2">
        <v>29833</v>
      </c>
      <c r="H857">
        <v>7</v>
      </c>
      <c r="I857" s="3">
        <v>0.15</v>
      </c>
      <c r="J857" s="2">
        <v>2036.17</v>
      </c>
    </row>
    <row r="858" spans="1:10" x14ac:dyDescent="0.35">
      <c r="A858" t="s">
        <v>883</v>
      </c>
      <c r="B858" s="1">
        <v>45600</v>
      </c>
      <c r="C858" t="s">
        <v>16</v>
      </c>
      <c r="D858" t="s">
        <v>12</v>
      </c>
      <c r="E858" t="s">
        <v>23</v>
      </c>
      <c r="F858" t="s">
        <v>24</v>
      </c>
      <c r="G858" s="2">
        <v>30525</v>
      </c>
      <c r="H858">
        <v>10</v>
      </c>
      <c r="I858" s="3">
        <v>0.1</v>
      </c>
      <c r="J858" s="2">
        <v>3216.29</v>
      </c>
    </row>
    <row r="859" spans="1:10" x14ac:dyDescent="0.35">
      <c r="A859" t="s">
        <v>884</v>
      </c>
      <c r="B859" s="1">
        <v>45471</v>
      </c>
      <c r="C859" t="s">
        <v>11</v>
      </c>
      <c r="D859" t="s">
        <v>28</v>
      </c>
      <c r="E859" t="s">
        <v>13</v>
      </c>
      <c r="F859" t="s">
        <v>26</v>
      </c>
      <c r="G859" s="2">
        <v>30499</v>
      </c>
      <c r="H859">
        <v>9</v>
      </c>
      <c r="I859" s="3">
        <v>0.1</v>
      </c>
      <c r="J859" s="2">
        <v>2563.06</v>
      </c>
    </row>
    <row r="860" spans="1:10" x14ac:dyDescent="0.35">
      <c r="A860" t="s">
        <v>885</v>
      </c>
      <c r="B860" s="1">
        <v>45652</v>
      </c>
      <c r="C860" t="s">
        <v>16</v>
      </c>
      <c r="D860" t="s">
        <v>17</v>
      </c>
      <c r="E860" t="s">
        <v>23</v>
      </c>
      <c r="F860" t="s">
        <v>14</v>
      </c>
      <c r="G860" s="2">
        <v>102686</v>
      </c>
      <c r="H860">
        <v>1</v>
      </c>
      <c r="I860" s="3">
        <v>0.15</v>
      </c>
      <c r="J860" s="2">
        <v>-5038.1899999999996</v>
      </c>
    </row>
    <row r="861" spans="1:10" x14ac:dyDescent="0.35">
      <c r="A861" t="s">
        <v>886</v>
      </c>
      <c r="B861" s="1">
        <v>45385</v>
      </c>
      <c r="C861" t="s">
        <v>16</v>
      </c>
      <c r="D861" t="s">
        <v>17</v>
      </c>
      <c r="E861" t="s">
        <v>18</v>
      </c>
      <c r="F861" t="s">
        <v>19</v>
      </c>
      <c r="G861" s="2">
        <v>34633</v>
      </c>
      <c r="H861">
        <v>4</v>
      </c>
      <c r="I861" s="3">
        <v>0.1</v>
      </c>
      <c r="J861" s="2">
        <v>16.100000000000001</v>
      </c>
    </row>
    <row r="862" spans="1:10" x14ac:dyDescent="0.35">
      <c r="A862" t="s">
        <v>887</v>
      </c>
      <c r="B862" s="1">
        <v>45340</v>
      </c>
      <c r="C862" t="s">
        <v>16</v>
      </c>
      <c r="D862" t="s">
        <v>22</v>
      </c>
      <c r="E862" t="s">
        <v>13</v>
      </c>
      <c r="F862" t="s">
        <v>40</v>
      </c>
      <c r="G862" s="2">
        <v>49042</v>
      </c>
      <c r="H862">
        <v>10</v>
      </c>
      <c r="I862" s="3">
        <v>0</v>
      </c>
      <c r="J862" s="2">
        <v>8593.98</v>
      </c>
    </row>
    <row r="863" spans="1:10" x14ac:dyDescent="0.35">
      <c r="A863" t="s">
        <v>888</v>
      </c>
      <c r="B863" s="1">
        <v>45613</v>
      </c>
      <c r="C863" t="s">
        <v>21</v>
      </c>
      <c r="D863" t="s">
        <v>22</v>
      </c>
      <c r="E863" t="s">
        <v>23</v>
      </c>
      <c r="F863" t="s">
        <v>31</v>
      </c>
      <c r="G863" s="2">
        <v>100262</v>
      </c>
      <c r="H863">
        <v>2</v>
      </c>
      <c r="I863" s="3">
        <v>0.1</v>
      </c>
      <c r="J863" s="2">
        <v>3251.25</v>
      </c>
    </row>
    <row r="864" spans="1:10" x14ac:dyDescent="0.35">
      <c r="A864" t="s">
        <v>889</v>
      </c>
      <c r="B864" s="1">
        <v>45519</v>
      </c>
      <c r="C864" t="s">
        <v>11</v>
      </c>
      <c r="D864" t="s">
        <v>28</v>
      </c>
      <c r="E864" t="s">
        <v>18</v>
      </c>
      <c r="F864" t="s">
        <v>24</v>
      </c>
      <c r="G864" s="2">
        <v>104411</v>
      </c>
      <c r="H864">
        <v>4</v>
      </c>
      <c r="I864" s="3">
        <v>0.05</v>
      </c>
      <c r="J864" s="2">
        <v>6804.94</v>
      </c>
    </row>
    <row r="865" spans="1:10" x14ac:dyDescent="0.35">
      <c r="A865" t="s">
        <v>890</v>
      </c>
      <c r="B865" s="1">
        <v>45476</v>
      </c>
      <c r="C865" t="s">
        <v>21</v>
      </c>
      <c r="D865" t="s">
        <v>28</v>
      </c>
      <c r="E865" t="s">
        <v>13</v>
      </c>
      <c r="F865" t="s">
        <v>31</v>
      </c>
      <c r="G865" s="2">
        <v>46953</v>
      </c>
      <c r="H865">
        <v>5</v>
      </c>
      <c r="I865" s="3">
        <v>0.15</v>
      </c>
      <c r="J865" s="2">
        <v>2301.09</v>
      </c>
    </row>
    <row r="866" spans="1:10" x14ac:dyDescent="0.35">
      <c r="A866" t="s">
        <v>891</v>
      </c>
      <c r="B866" s="1">
        <v>45397</v>
      </c>
      <c r="C866" t="s">
        <v>16</v>
      </c>
      <c r="D866" t="s">
        <v>12</v>
      </c>
      <c r="E866" t="s">
        <v>13</v>
      </c>
      <c r="F866" t="s">
        <v>33</v>
      </c>
      <c r="G866" s="2">
        <v>16580</v>
      </c>
      <c r="H866">
        <v>10</v>
      </c>
      <c r="I866" s="3">
        <v>0.1</v>
      </c>
      <c r="J866" s="2">
        <v>1856.6</v>
      </c>
    </row>
    <row r="867" spans="1:10" x14ac:dyDescent="0.35">
      <c r="A867" t="s">
        <v>892</v>
      </c>
      <c r="B867" s="1">
        <v>45376</v>
      </c>
      <c r="C867" t="s">
        <v>16</v>
      </c>
      <c r="D867" t="s">
        <v>12</v>
      </c>
      <c r="E867" t="s">
        <v>13</v>
      </c>
      <c r="F867" t="s">
        <v>31</v>
      </c>
      <c r="G867" s="2">
        <v>23338</v>
      </c>
      <c r="H867">
        <v>10</v>
      </c>
      <c r="I867" s="3">
        <v>0</v>
      </c>
      <c r="J867" s="2">
        <v>4364.5600000000004</v>
      </c>
    </row>
    <row r="868" spans="1:10" x14ac:dyDescent="0.35">
      <c r="A868" t="s">
        <v>893</v>
      </c>
      <c r="B868" s="1">
        <v>45558</v>
      </c>
      <c r="C868" t="s">
        <v>16</v>
      </c>
      <c r="D868" t="s">
        <v>28</v>
      </c>
      <c r="E868" t="s">
        <v>18</v>
      </c>
      <c r="F868" t="s">
        <v>26</v>
      </c>
      <c r="G868" s="2">
        <v>27680</v>
      </c>
      <c r="H868">
        <v>2</v>
      </c>
      <c r="I868" s="3">
        <v>0.05</v>
      </c>
      <c r="J868" s="2">
        <v>486.6</v>
      </c>
    </row>
    <row r="869" spans="1:10" x14ac:dyDescent="0.35">
      <c r="A869" t="s">
        <v>894</v>
      </c>
      <c r="B869" s="1">
        <v>45292</v>
      </c>
      <c r="C869" t="s">
        <v>11</v>
      </c>
      <c r="D869" t="s">
        <v>28</v>
      </c>
      <c r="E869" t="s">
        <v>18</v>
      </c>
      <c r="F869" t="s">
        <v>24</v>
      </c>
      <c r="G869" s="2">
        <v>88504</v>
      </c>
      <c r="H869">
        <v>9</v>
      </c>
      <c r="I869" s="3">
        <v>0.05</v>
      </c>
      <c r="J869" s="2">
        <v>9538.57</v>
      </c>
    </row>
    <row r="870" spans="1:10" x14ac:dyDescent="0.35">
      <c r="A870" t="s">
        <v>895</v>
      </c>
      <c r="B870" s="1">
        <v>45641</v>
      </c>
      <c r="C870" t="s">
        <v>16</v>
      </c>
      <c r="D870" t="s">
        <v>28</v>
      </c>
      <c r="E870" t="s">
        <v>23</v>
      </c>
      <c r="F870" t="s">
        <v>26</v>
      </c>
      <c r="G870" s="2">
        <v>12409</v>
      </c>
      <c r="H870">
        <v>6</v>
      </c>
      <c r="I870" s="3">
        <v>0.1</v>
      </c>
      <c r="J870" s="2">
        <v>80.88</v>
      </c>
    </row>
    <row r="871" spans="1:10" x14ac:dyDescent="0.35">
      <c r="A871" t="s">
        <v>896</v>
      </c>
      <c r="B871" s="1">
        <v>45424</v>
      </c>
      <c r="C871" t="s">
        <v>16</v>
      </c>
      <c r="D871" t="s">
        <v>17</v>
      </c>
      <c r="E871" t="s">
        <v>23</v>
      </c>
      <c r="F871" t="s">
        <v>14</v>
      </c>
      <c r="G871" s="2">
        <v>128539</v>
      </c>
      <c r="H871">
        <v>8</v>
      </c>
      <c r="I871" s="3">
        <v>0.15</v>
      </c>
      <c r="J871" s="2">
        <v>-6503.86</v>
      </c>
    </row>
    <row r="872" spans="1:10" x14ac:dyDescent="0.35">
      <c r="A872" t="s">
        <v>897</v>
      </c>
      <c r="B872" s="1">
        <v>45650</v>
      </c>
      <c r="C872" t="s">
        <v>21</v>
      </c>
      <c r="D872" t="s">
        <v>17</v>
      </c>
      <c r="E872" t="s">
        <v>23</v>
      </c>
      <c r="F872" t="s">
        <v>26</v>
      </c>
      <c r="G872" s="2">
        <v>112608</v>
      </c>
      <c r="H872">
        <v>3</v>
      </c>
      <c r="I872" s="3">
        <v>0.05</v>
      </c>
      <c r="J872" s="2">
        <v>5800.99</v>
      </c>
    </row>
    <row r="873" spans="1:10" x14ac:dyDescent="0.35">
      <c r="A873" t="s">
        <v>898</v>
      </c>
      <c r="B873" s="1">
        <v>45399</v>
      </c>
      <c r="C873" t="s">
        <v>11</v>
      </c>
      <c r="D873" t="s">
        <v>22</v>
      </c>
      <c r="E873" t="s">
        <v>23</v>
      </c>
      <c r="F873" t="s">
        <v>26</v>
      </c>
      <c r="G873" s="2">
        <v>19795</v>
      </c>
      <c r="H873">
        <v>4</v>
      </c>
      <c r="I873" s="3">
        <v>0.05</v>
      </c>
      <c r="J873" s="2">
        <v>3113.06</v>
      </c>
    </row>
    <row r="874" spans="1:10" x14ac:dyDescent="0.35">
      <c r="A874" t="s">
        <v>899</v>
      </c>
      <c r="B874" s="1">
        <v>45373</v>
      </c>
      <c r="C874" t="s">
        <v>16</v>
      </c>
      <c r="D874" t="s">
        <v>17</v>
      </c>
      <c r="E874" t="s">
        <v>23</v>
      </c>
      <c r="F874" t="s">
        <v>19</v>
      </c>
      <c r="G874" s="2">
        <v>93950</v>
      </c>
      <c r="H874">
        <v>9</v>
      </c>
      <c r="I874" s="3">
        <v>0.15</v>
      </c>
      <c r="J874" s="2">
        <v>-1552.85</v>
      </c>
    </row>
    <row r="875" spans="1:10" x14ac:dyDescent="0.35">
      <c r="A875" t="s">
        <v>900</v>
      </c>
      <c r="B875" s="1">
        <v>45641</v>
      </c>
      <c r="C875" t="s">
        <v>11</v>
      </c>
      <c r="D875" t="s">
        <v>12</v>
      </c>
      <c r="E875" t="s">
        <v>23</v>
      </c>
      <c r="F875" t="s">
        <v>24</v>
      </c>
      <c r="G875" s="2">
        <v>90124</v>
      </c>
      <c r="H875">
        <v>7</v>
      </c>
      <c r="I875" s="3">
        <v>0.05</v>
      </c>
      <c r="J875" s="2">
        <v>959.7</v>
      </c>
    </row>
    <row r="876" spans="1:10" x14ac:dyDescent="0.35">
      <c r="A876" t="s">
        <v>901</v>
      </c>
      <c r="B876" s="1">
        <v>45315</v>
      </c>
      <c r="C876" t="s">
        <v>21</v>
      </c>
      <c r="D876" t="s">
        <v>17</v>
      </c>
      <c r="E876" t="s">
        <v>23</v>
      </c>
      <c r="F876" t="s">
        <v>31</v>
      </c>
      <c r="G876" s="2">
        <v>99594</v>
      </c>
      <c r="H876">
        <v>5</v>
      </c>
      <c r="I876" s="3">
        <v>0.1</v>
      </c>
      <c r="J876" s="2">
        <v>-2598.64</v>
      </c>
    </row>
    <row r="877" spans="1:10" x14ac:dyDescent="0.35">
      <c r="A877" t="s">
        <v>902</v>
      </c>
      <c r="B877" s="1">
        <v>45334</v>
      </c>
      <c r="C877" t="s">
        <v>21</v>
      </c>
      <c r="D877" t="s">
        <v>17</v>
      </c>
      <c r="E877" t="s">
        <v>18</v>
      </c>
      <c r="F877" t="s">
        <v>14</v>
      </c>
      <c r="G877" s="2">
        <v>139073</v>
      </c>
      <c r="H877">
        <v>7</v>
      </c>
      <c r="I877" s="3">
        <v>0</v>
      </c>
      <c r="J877" s="2">
        <v>32033.3</v>
      </c>
    </row>
    <row r="878" spans="1:10" x14ac:dyDescent="0.35">
      <c r="A878" t="s">
        <v>903</v>
      </c>
      <c r="B878" s="1">
        <v>45614</v>
      </c>
      <c r="C878" t="s">
        <v>21</v>
      </c>
      <c r="D878" t="s">
        <v>17</v>
      </c>
      <c r="E878" t="s">
        <v>18</v>
      </c>
      <c r="F878" t="s">
        <v>24</v>
      </c>
      <c r="G878" s="2">
        <v>106059</v>
      </c>
      <c r="H878">
        <v>6</v>
      </c>
      <c r="I878" s="3">
        <v>0.15</v>
      </c>
      <c r="J878" s="2">
        <v>-8764.31</v>
      </c>
    </row>
    <row r="879" spans="1:10" x14ac:dyDescent="0.35">
      <c r="A879" t="s">
        <v>904</v>
      </c>
      <c r="B879" s="1">
        <v>45471</v>
      </c>
      <c r="C879" t="s">
        <v>16</v>
      </c>
      <c r="D879" t="s">
        <v>12</v>
      </c>
      <c r="E879" t="s">
        <v>18</v>
      </c>
      <c r="F879" t="s">
        <v>26</v>
      </c>
      <c r="G879" s="2">
        <v>115056</v>
      </c>
      <c r="H879">
        <v>7</v>
      </c>
      <c r="I879" s="3">
        <v>0</v>
      </c>
      <c r="J879" s="2">
        <v>13542.9</v>
      </c>
    </row>
    <row r="880" spans="1:10" x14ac:dyDescent="0.35">
      <c r="A880" t="s">
        <v>905</v>
      </c>
      <c r="B880" s="1">
        <v>45377</v>
      </c>
      <c r="C880" t="s">
        <v>21</v>
      </c>
      <c r="D880" t="s">
        <v>22</v>
      </c>
      <c r="E880" t="s">
        <v>13</v>
      </c>
      <c r="F880" t="s">
        <v>33</v>
      </c>
      <c r="G880" s="2">
        <v>39121</v>
      </c>
      <c r="H880">
        <v>10</v>
      </c>
      <c r="I880" s="3">
        <v>0.05</v>
      </c>
      <c r="J880" s="2">
        <v>6767.36</v>
      </c>
    </row>
    <row r="881" spans="1:10" x14ac:dyDescent="0.35">
      <c r="A881" t="s">
        <v>906</v>
      </c>
      <c r="B881" s="1">
        <v>45407</v>
      </c>
      <c r="C881" t="s">
        <v>21</v>
      </c>
      <c r="D881" t="s">
        <v>28</v>
      </c>
      <c r="E881" t="s">
        <v>13</v>
      </c>
      <c r="F881" t="s">
        <v>14</v>
      </c>
      <c r="G881" s="2">
        <v>85099</v>
      </c>
      <c r="H881">
        <v>8</v>
      </c>
      <c r="I881" s="3">
        <v>0.05</v>
      </c>
      <c r="J881" s="2">
        <v>2563.21</v>
      </c>
    </row>
    <row r="882" spans="1:10" x14ac:dyDescent="0.35">
      <c r="A882" t="s">
        <v>907</v>
      </c>
      <c r="B882" s="1">
        <v>45590</v>
      </c>
      <c r="C882" t="s">
        <v>16</v>
      </c>
      <c r="D882" t="s">
        <v>12</v>
      </c>
      <c r="E882" t="s">
        <v>23</v>
      </c>
      <c r="F882" t="s">
        <v>24</v>
      </c>
      <c r="G882" s="2">
        <v>108178</v>
      </c>
      <c r="H882">
        <v>10</v>
      </c>
      <c r="I882" s="3">
        <v>0.05</v>
      </c>
      <c r="J882" s="2">
        <v>2070.19</v>
      </c>
    </row>
    <row r="883" spans="1:10" x14ac:dyDescent="0.35">
      <c r="A883" t="s">
        <v>908</v>
      </c>
      <c r="B883" s="1">
        <v>45651</v>
      </c>
      <c r="C883" t="s">
        <v>11</v>
      </c>
      <c r="D883" t="s">
        <v>17</v>
      </c>
      <c r="E883" t="s">
        <v>23</v>
      </c>
      <c r="F883" t="s">
        <v>31</v>
      </c>
      <c r="G883" s="2">
        <v>129960</v>
      </c>
      <c r="H883">
        <v>7</v>
      </c>
      <c r="I883" s="3">
        <v>0.15</v>
      </c>
      <c r="J883" s="2">
        <v>-4362.3999999999996</v>
      </c>
    </row>
    <row r="884" spans="1:10" x14ac:dyDescent="0.35">
      <c r="A884" t="s">
        <v>909</v>
      </c>
      <c r="B884" s="1">
        <v>45293</v>
      </c>
      <c r="C884" t="s">
        <v>16</v>
      </c>
      <c r="D884" t="s">
        <v>28</v>
      </c>
      <c r="E884" t="s">
        <v>18</v>
      </c>
      <c r="F884" t="s">
        <v>19</v>
      </c>
      <c r="G884" s="2">
        <v>63100</v>
      </c>
      <c r="H884">
        <v>2</v>
      </c>
      <c r="I884" s="3">
        <v>0.05</v>
      </c>
      <c r="J884" s="2">
        <v>11216.48</v>
      </c>
    </row>
    <row r="885" spans="1:10" x14ac:dyDescent="0.35">
      <c r="A885" t="s">
        <v>910</v>
      </c>
      <c r="B885" s="1">
        <v>45559</v>
      </c>
      <c r="C885" t="s">
        <v>11</v>
      </c>
      <c r="D885" t="s">
        <v>12</v>
      </c>
      <c r="E885" t="s">
        <v>13</v>
      </c>
      <c r="F885" t="s">
        <v>33</v>
      </c>
      <c r="G885" s="2">
        <v>74457</v>
      </c>
      <c r="H885">
        <v>6</v>
      </c>
      <c r="I885" s="3">
        <v>0</v>
      </c>
      <c r="J885" s="2">
        <v>9095.42</v>
      </c>
    </row>
    <row r="886" spans="1:10" x14ac:dyDescent="0.35">
      <c r="A886" t="s">
        <v>911</v>
      </c>
      <c r="B886" s="1">
        <v>45357</v>
      </c>
      <c r="C886" t="s">
        <v>11</v>
      </c>
      <c r="D886" t="s">
        <v>22</v>
      </c>
      <c r="E886" t="s">
        <v>18</v>
      </c>
      <c r="F886" t="s">
        <v>14</v>
      </c>
      <c r="G886" s="2">
        <v>33906</v>
      </c>
      <c r="H886">
        <v>7</v>
      </c>
      <c r="I886" s="3">
        <v>0.1</v>
      </c>
      <c r="J886" s="2">
        <v>1300.8599999999999</v>
      </c>
    </row>
    <row r="887" spans="1:10" x14ac:dyDescent="0.35">
      <c r="A887" t="s">
        <v>912</v>
      </c>
      <c r="B887" s="1">
        <v>45419</v>
      </c>
      <c r="C887" t="s">
        <v>11</v>
      </c>
      <c r="D887" t="s">
        <v>12</v>
      </c>
      <c r="E887" t="s">
        <v>18</v>
      </c>
      <c r="F887" t="s">
        <v>24</v>
      </c>
      <c r="G887" s="2">
        <v>39202</v>
      </c>
      <c r="H887">
        <v>5</v>
      </c>
      <c r="I887" s="3">
        <v>0.1</v>
      </c>
      <c r="J887" s="2">
        <v>-257.02</v>
      </c>
    </row>
    <row r="888" spans="1:10" x14ac:dyDescent="0.35">
      <c r="A888" t="s">
        <v>913</v>
      </c>
      <c r="B888" s="1">
        <v>45568</v>
      </c>
      <c r="C888" t="s">
        <v>11</v>
      </c>
      <c r="D888" t="s">
        <v>22</v>
      </c>
      <c r="E888" t="s">
        <v>13</v>
      </c>
      <c r="F888" t="s">
        <v>31</v>
      </c>
      <c r="G888" s="2">
        <v>18492</v>
      </c>
      <c r="H888">
        <v>2</v>
      </c>
      <c r="I888" s="3">
        <v>0</v>
      </c>
      <c r="J888" s="2">
        <v>1745.8</v>
      </c>
    </row>
    <row r="889" spans="1:10" x14ac:dyDescent="0.35">
      <c r="A889" t="s">
        <v>914</v>
      </c>
      <c r="B889" s="1">
        <v>45614</v>
      </c>
      <c r="C889" t="s">
        <v>21</v>
      </c>
      <c r="D889" t="s">
        <v>12</v>
      </c>
      <c r="E889" t="s">
        <v>13</v>
      </c>
      <c r="F889" t="s">
        <v>26</v>
      </c>
      <c r="G889" s="2">
        <v>69450</v>
      </c>
      <c r="H889">
        <v>9</v>
      </c>
      <c r="I889" s="3">
        <v>0.15</v>
      </c>
      <c r="J889" s="2">
        <v>3401.22</v>
      </c>
    </row>
    <row r="890" spans="1:10" x14ac:dyDescent="0.35">
      <c r="A890" t="s">
        <v>915</v>
      </c>
      <c r="B890" s="1">
        <v>45584</v>
      </c>
      <c r="C890" t="s">
        <v>16</v>
      </c>
      <c r="D890" t="s">
        <v>28</v>
      </c>
      <c r="E890" t="s">
        <v>23</v>
      </c>
      <c r="F890" t="s">
        <v>33</v>
      </c>
      <c r="G890" s="2">
        <v>116567</v>
      </c>
      <c r="H890">
        <v>10</v>
      </c>
      <c r="I890" s="3">
        <v>0.1</v>
      </c>
      <c r="J890" s="2">
        <v>2841.17</v>
      </c>
    </row>
    <row r="891" spans="1:10" x14ac:dyDescent="0.35">
      <c r="A891" t="s">
        <v>916</v>
      </c>
      <c r="B891" s="1">
        <v>45304</v>
      </c>
      <c r="C891" t="s">
        <v>21</v>
      </c>
      <c r="D891" t="s">
        <v>22</v>
      </c>
      <c r="E891" t="s">
        <v>23</v>
      </c>
      <c r="F891" t="s">
        <v>14</v>
      </c>
      <c r="G891" s="2">
        <v>31059</v>
      </c>
      <c r="H891">
        <v>9</v>
      </c>
      <c r="I891" s="3">
        <v>0.15</v>
      </c>
      <c r="J891" s="2">
        <v>-170.79</v>
      </c>
    </row>
    <row r="892" spans="1:10" x14ac:dyDescent="0.35">
      <c r="A892" t="s">
        <v>917</v>
      </c>
      <c r="B892" s="1">
        <v>45499</v>
      </c>
      <c r="C892" t="s">
        <v>21</v>
      </c>
      <c r="D892" t="s">
        <v>12</v>
      </c>
      <c r="E892" t="s">
        <v>13</v>
      </c>
      <c r="F892" t="s">
        <v>19</v>
      </c>
      <c r="G892" s="2">
        <v>73590</v>
      </c>
      <c r="H892">
        <v>6</v>
      </c>
      <c r="I892" s="3">
        <v>0.15</v>
      </c>
      <c r="J892" s="2">
        <v>1013.43</v>
      </c>
    </row>
    <row r="893" spans="1:10" x14ac:dyDescent="0.35">
      <c r="A893" t="s">
        <v>918</v>
      </c>
      <c r="B893" s="1">
        <v>45389</v>
      </c>
      <c r="C893" t="s">
        <v>11</v>
      </c>
      <c r="D893" t="s">
        <v>28</v>
      </c>
      <c r="E893" t="s">
        <v>13</v>
      </c>
      <c r="F893" t="s">
        <v>14</v>
      </c>
      <c r="G893" s="2">
        <v>136948</v>
      </c>
      <c r="H893">
        <v>4</v>
      </c>
      <c r="I893" s="3">
        <v>0.05</v>
      </c>
      <c r="J893" s="2">
        <v>2105.2600000000002</v>
      </c>
    </row>
    <row r="894" spans="1:10" x14ac:dyDescent="0.35">
      <c r="A894" t="s">
        <v>919</v>
      </c>
      <c r="B894" s="1">
        <v>45438</v>
      </c>
      <c r="C894" t="s">
        <v>16</v>
      </c>
      <c r="D894" t="s">
        <v>12</v>
      </c>
      <c r="E894" t="s">
        <v>18</v>
      </c>
      <c r="F894" t="s">
        <v>31</v>
      </c>
      <c r="G894" s="2">
        <v>146985</v>
      </c>
      <c r="H894">
        <v>5</v>
      </c>
      <c r="I894" s="3">
        <v>0.05</v>
      </c>
      <c r="J894" s="2">
        <v>15877.65</v>
      </c>
    </row>
    <row r="895" spans="1:10" x14ac:dyDescent="0.35">
      <c r="A895" t="s">
        <v>920</v>
      </c>
      <c r="B895" s="1">
        <v>45644</v>
      </c>
      <c r="C895" t="s">
        <v>11</v>
      </c>
      <c r="D895" t="s">
        <v>17</v>
      </c>
      <c r="E895" t="s">
        <v>23</v>
      </c>
      <c r="F895" t="s">
        <v>24</v>
      </c>
      <c r="G895" s="2">
        <v>115133</v>
      </c>
      <c r="H895">
        <v>6</v>
      </c>
      <c r="I895" s="3">
        <v>0</v>
      </c>
      <c r="J895" s="2">
        <v>23663.46</v>
      </c>
    </row>
    <row r="896" spans="1:10" x14ac:dyDescent="0.35">
      <c r="A896" t="s">
        <v>921</v>
      </c>
      <c r="B896" s="1">
        <v>45383</v>
      </c>
      <c r="C896" t="s">
        <v>11</v>
      </c>
      <c r="D896" t="s">
        <v>28</v>
      </c>
      <c r="E896" t="s">
        <v>18</v>
      </c>
      <c r="F896" t="s">
        <v>40</v>
      </c>
      <c r="G896" s="2">
        <v>49402</v>
      </c>
      <c r="H896">
        <v>10</v>
      </c>
      <c r="I896" s="3">
        <v>0.1</v>
      </c>
      <c r="J896" s="2">
        <v>1359.18</v>
      </c>
    </row>
    <row r="897" spans="1:10" x14ac:dyDescent="0.35">
      <c r="A897" t="s">
        <v>922</v>
      </c>
      <c r="B897" s="1">
        <v>45375</v>
      </c>
      <c r="C897" t="s">
        <v>16</v>
      </c>
      <c r="D897" t="s">
        <v>12</v>
      </c>
      <c r="E897" t="s">
        <v>13</v>
      </c>
      <c r="F897" t="s">
        <v>33</v>
      </c>
      <c r="G897" s="2">
        <v>94835</v>
      </c>
      <c r="H897">
        <v>2</v>
      </c>
      <c r="I897" s="3">
        <v>0.15</v>
      </c>
      <c r="J897" s="2">
        <v>8398.66</v>
      </c>
    </row>
    <row r="898" spans="1:10" x14ac:dyDescent="0.35">
      <c r="A898" t="s">
        <v>923</v>
      </c>
      <c r="B898" s="1">
        <v>45640</v>
      </c>
      <c r="C898" t="s">
        <v>11</v>
      </c>
      <c r="D898" t="s">
        <v>28</v>
      </c>
      <c r="E898" t="s">
        <v>23</v>
      </c>
      <c r="F898" t="s">
        <v>33</v>
      </c>
      <c r="G898" s="2">
        <v>87183</v>
      </c>
      <c r="H898">
        <v>10</v>
      </c>
      <c r="I898" s="3">
        <v>0.15</v>
      </c>
      <c r="J898" s="2">
        <v>-5793.32</v>
      </c>
    </row>
    <row r="899" spans="1:10" x14ac:dyDescent="0.35">
      <c r="A899" t="s">
        <v>924</v>
      </c>
      <c r="B899" s="1">
        <v>45497</v>
      </c>
      <c r="C899" t="s">
        <v>11</v>
      </c>
      <c r="D899" t="s">
        <v>22</v>
      </c>
      <c r="E899" t="s">
        <v>23</v>
      </c>
      <c r="F899" t="s">
        <v>40</v>
      </c>
      <c r="G899" s="2">
        <v>69241</v>
      </c>
      <c r="H899">
        <v>1</v>
      </c>
      <c r="I899" s="3">
        <v>0.15</v>
      </c>
      <c r="J899" s="2">
        <v>-2191.7199999999998</v>
      </c>
    </row>
    <row r="900" spans="1:10" x14ac:dyDescent="0.35">
      <c r="A900" t="s">
        <v>925</v>
      </c>
      <c r="B900" s="1">
        <v>45327</v>
      </c>
      <c r="C900" t="s">
        <v>11</v>
      </c>
      <c r="D900" t="s">
        <v>22</v>
      </c>
      <c r="E900" t="s">
        <v>13</v>
      </c>
      <c r="F900" t="s">
        <v>19</v>
      </c>
      <c r="G900" s="2">
        <v>66074</v>
      </c>
      <c r="H900">
        <v>3</v>
      </c>
      <c r="I900" s="3">
        <v>0.05</v>
      </c>
      <c r="J900" s="2">
        <v>5194.37</v>
      </c>
    </row>
    <row r="901" spans="1:10" x14ac:dyDescent="0.35">
      <c r="A901" t="s">
        <v>926</v>
      </c>
      <c r="B901" s="1">
        <v>45631</v>
      </c>
      <c r="C901" t="s">
        <v>21</v>
      </c>
      <c r="D901" t="s">
        <v>22</v>
      </c>
      <c r="E901" t="s">
        <v>23</v>
      </c>
      <c r="F901" t="s">
        <v>14</v>
      </c>
      <c r="G901" s="2">
        <v>137468</v>
      </c>
      <c r="H901">
        <v>7</v>
      </c>
      <c r="I901" s="3">
        <v>0.15</v>
      </c>
      <c r="J901" s="2">
        <v>-11148.66</v>
      </c>
    </row>
    <row r="902" spans="1:10" x14ac:dyDescent="0.35">
      <c r="A902" t="s">
        <v>927</v>
      </c>
      <c r="B902" s="1">
        <v>45598</v>
      </c>
      <c r="C902" t="s">
        <v>16</v>
      </c>
      <c r="D902" t="s">
        <v>28</v>
      </c>
      <c r="E902" t="s">
        <v>18</v>
      </c>
      <c r="F902" t="s">
        <v>24</v>
      </c>
      <c r="G902" s="2">
        <v>79969</v>
      </c>
      <c r="H902">
        <v>7</v>
      </c>
      <c r="I902" s="3">
        <v>0.15</v>
      </c>
      <c r="J902" s="2">
        <v>-5315.77</v>
      </c>
    </row>
    <row r="903" spans="1:10" x14ac:dyDescent="0.35">
      <c r="A903" t="s">
        <v>928</v>
      </c>
      <c r="B903" s="1">
        <v>45635</v>
      </c>
      <c r="C903" t="s">
        <v>16</v>
      </c>
      <c r="D903" t="s">
        <v>22</v>
      </c>
      <c r="E903" t="s">
        <v>18</v>
      </c>
      <c r="F903" t="s">
        <v>19</v>
      </c>
      <c r="G903" s="2">
        <v>136045</v>
      </c>
      <c r="H903">
        <v>3</v>
      </c>
      <c r="I903" s="3">
        <v>0.15</v>
      </c>
      <c r="J903" s="2">
        <v>6542.32</v>
      </c>
    </row>
    <row r="904" spans="1:10" x14ac:dyDescent="0.35">
      <c r="A904" t="s">
        <v>929</v>
      </c>
      <c r="B904" s="1">
        <v>45469</v>
      </c>
      <c r="C904" t="s">
        <v>16</v>
      </c>
      <c r="D904" t="s">
        <v>28</v>
      </c>
      <c r="E904" t="s">
        <v>13</v>
      </c>
      <c r="F904" t="s">
        <v>26</v>
      </c>
      <c r="G904" s="2">
        <v>109941</v>
      </c>
      <c r="H904">
        <v>2</v>
      </c>
      <c r="I904" s="3">
        <v>0</v>
      </c>
      <c r="J904" s="2">
        <v>9474.08</v>
      </c>
    </row>
    <row r="905" spans="1:10" x14ac:dyDescent="0.35">
      <c r="A905" t="s">
        <v>930</v>
      </c>
      <c r="B905" s="1">
        <v>45425</v>
      </c>
      <c r="C905" t="s">
        <v>11</v>
      </c>
      <c r="D905" t="s">
        <v>17</v>
      </c>
      <c r="E905" t="s">
        <v>13</v>
      </c>
      <c r="F905" t="s">
        <v>31</v>
      </c>
      <c r="G905" s="2">
        <v>6701</v>
      </c>
      <c r="H905">
        <v>4</v>
      </c>
      <c r="I905" s="3">
        <v>0.15</v>
      </c>
      <c r="J905" s="2">
        <v>602.5</v>
      </c>
    </row>
    <row r="906" spans="1:10" x14ac:dyDescent="0.35">
      <c r="A906" t="s">
        <v>931</v>
      </c>
      <c r="B906" s="1">
        <v>45582</v>
      </c>
      <c r="C906" t="s">
        <v>21</v>
      </c>
      <c r="D906" t="s">
        <v>12</v>
      </c>
      <c r="E906" t="s">
        <v>13</v>
      </c>
      <c r="F906" t="s">
        <v>33</v>
      </c>
      <c r="G906" s="2">
        <v>37293</v>
      </c>
      <c r="H906">
        <v>7</v>
      </c>
      <c r="I906" s="3">
        <v>0.05</v>
      </c>
      <c r="J906" s="2">
        <v>5772.47</v>
      </c>
    </row>
    <row r="907" spans="1:10" x14ac:dyDescent="0.35">
      <c r="A907" t="s">
        <v>932</v>
      </c>
      <c r="B907" s="1">
        <v>45630</v>
      </c>
      <c r="C907" t="s">
        <v>16</v>
      </c>
      <c r="D907" t="s">
        <v>28</v>
      </c>
      <c r="E907" t="s">
        <v>13</v>
      </c>
      <c r="F907" t="s">
        <v>31</v>
      </c>
      <c r="G907" s="2">
        <v>61179</v>
      </c>
      <c r="H907">
        <v>10</v>
      </c>
      <c r="I907" s="3">
        <v>0.1</v>
      </c>
      <c r="J907" s="2">
        <v>1771</v>
      </c>
    </row>
    <row r="908" spans="1:10" x14ac:dyDescent="0.35">
      <c r="A908" t="s">
        <v>933</v>
      </c>
      <c r="B908" s="1">
        <v>45399</v>
      </c>
      <c r="C908" t="s">
        <v>21</v>
      </c>
      <c r="D908" t="s">
        <v>22</v>
      </c>
      <c r="E908" t="s">
        <v>13</v>
      </c>
      <c r="F908" t="s">
        <v>40</v>
      </c>
      <c r="G908" s="2">
        <v>41638</v>
      </c>
      <c r="H908">
        <v>10</v>
      </c>
      <c r="I908" s="3">
        <v>0.05</v>
      </c>
      <c r="J908" s="2">
        <v>1563.8</v>
      </c>
    </row>
    <row r="909" spans="1:10" x14ac:dyDescent="0.35">
      <c r="A909" t="s">
        <v>934</v>
      </c>
      <c r="B909" s="1">
        <v>45312</v>
      </c>
      <c r="C909" t="s">
        <v>21</v>
      </c>
      <c r="D909" t="s">
        <v>28</v>
      </c>
      <c r="E909" t="s">
        <v>23</v>
      </c>
      <c r="F909" t="s">
        <v>24</v>
      </c>
      <c r="G909" s="2">
        <v>119736</v>
      </c>
      <c r="H909">
        <v>8</v>
      </c>
      <c r="I909" s="3">
        <v>0</v>
      </c>
      <c r="J909" s="2">
        <v>16615.25</v>
      </c>
    </row>
    <row r="910" spans="1:10" x14ac:dyDescent="0.35">
      <c r="A910" t="s">
        <v>935</v>
      </c>
      <c r="B910" s="1">
        <v>45640</v>
      </c>
      <c r="C910" t="s">
        <v>11</v>
      </c>
      <c r="D910" t="s">
        <v>22</v>
      </c>
      <c r="E910" t="s">
        <v>18</v>
      </c>
      <c r="F910" t="s">
        <v>24</v>
      </c>
      <c r="G910" s="2">
        <v>99571</v>
      </c>
      <c r="H910">
        <v>4</v>
      </c>
      <c r="I910" s="3">
        <v>0.05</v>
      </c>
      <c r="J910" s="2">
        <v>19378.080000000002</v>
      </c>
    </row>
    <row r="911" spans="1:10" x14ac:dyDescent="0.35">
      <c r="A911" t="s">
        <v>936</v>
      </c>
      <c r="B911" s="1">
        <v>45379</v>
      </c>
      <c r="C911" t="s">
        <v>11</v>
      </c>
      <c r="D911" t="s">
        <v>22</v>
      </c>
      <c r="E911" t="s">
        <v>18</v>
      </c>
      <c r="F911" t="s">
        <v>40</v>
      </c>
      <c r="G911" s="2">
        <v>53607</v>
      </c>
      <c r="H911">
        <v>6</v>
      </c>
      <c r="I911" s="3">
        <v>0</v>
      </c>
      <c r="J911" s="2">
        <v>4319.08</v>
      </c>
    </row>
    <row r="912" spans="1:10" x14ac:dyDescent="0.35">
      <c r="A912" t="s">
        <v>937</v>
      </c>
      <c r="B912" s="1">
        <v>45570</v>
      </c>
      <c r="C912" t="s">
        <v>16</v>
      </c>
      <c r="D912" t="s">
        <v>17</v>
      </c>
      <c r="E912" t="s">
        <v>18</v>
      </c>
      <c r="F912" t="s">
        <v>14</v>
      </c>
      <c r="G912" s="2">
        <v>140835</v>
      </c>
      <c r="H912">
        <v>7</v>
      </c>
      <c r="I912" s="3">
        <v>0</v>
      </c>
      <c r="J912" s="2">
        <v>13917.17</v>
      </c>
    </row>
    <row r="913" spans="1:10" x14ac:dyDescent="0.35">
      <c r="A913" t="s">
        <v>938</v>
      </c>
      <c r="B913" s="1">
        <v>45338</v>
      </c>
      <c r="C913" t="s">
        <v>16</v>
      </c>
      <c r="D913" t="s">
        <v>17</v>
      </c>
      <c r="E913" t="s">
        <v>23</v>
      </c>
      <c r="F913" t="s">
        <v>14</v>
      </c>
      <c r="G913" s="2">
        <v>39758</v>
      </c>
      <c r="H913">
        <v>5</v>
      </c>
      <c r="I913" s="3">
        <v>0.05</v>
      </c>
      <c r="J913" s="2">
        <v>2558.7399999999998</v>
      </c>
    </row>
    <row r="914" spans="1:10" x14ac:dyDescent="0.35">
      <c r="A914" t="s">
        <v>939</v>
      </c>
      <c r="B914" s="1">
        <v>45293</v>
      </c>
      <c r="C914" t="s">
        <v>16</v>
      </c>
      <c r="D914" t="s">
        <v>17</v>
      </c>
      <c r="E914" t="s">
        <v>13</v>
      </c>
      <c r="F914" t="s">
        <v>14</v>
      </c>
      <c r="G914" s="2">
        <v>94628</v>
      </c>
      <c r="H914">
        <v>10</v>
      </c>
      <c r="I914" s="3">
        <v>0.05</v>
      </c>
      <c r="J914" s="2">
        <v>16909.55</v>
      </c>
    </row>
    <row r="915" spans="1:10" x14ac:dyDescent="0.35">
      <c r="A915" t="s">
        <v>940</v>
      </c>
      <c r="B915" s="1">
        <v>45614</v>
      </c>
      <c r="C915" t="s">
        <v>16</v>
      </c>
      <c r="D915" t="s">
        <v>22</v>
      </c>
      <c r="E915" t="s">
        <v>18</v>
      </c>
      <c r="F915" t="s">
        <v>40</v>
      </c>
      <c r="G915" s="2">
        <v>30063</v>
      </c>
      <c r="H915">
        <v>5</v>
      </c>
      <c r="I915" s="3">
        <v>0.15</v>
      </c>
      <c r="J915" s="2">
        <v>-834.93</v>
      </c>
    </row>
    <row r="916" spans="1:10" x14ac:dyDescent="0.35">
      <c r="A916" t="s">
        <v>941</v>
      </c>
      <c r="B916" s="1">
        <v>45384</v>
      </c>
      <c r="C916" t="s">
        <v>21</v>
      </c>
      <c r="D916" t="s">
        <v>22</v>
      </c>
      <c r="E916" t="s">
        <v>18</v>
      </c>
      <c r="F916" t="s">
        <v>14</v>
      </c>
      <c r="G916" s="2">
        <v>79038</v>
      </c>
      <c r="H916">
        <v>2</v>
      </c>
      <c r="I916" s="3">
        <v>0.1</v>
      </c>
      <c r="J916" s="2">
        <v>8226.64</v>
      </c>
    </row>
    <row r="917" spans="1:10" x14ac:dyDescent="0.35">
      <c r="A917" t="s">
        <v>942</v>
      </c>
      <c r="B917" s="1">
        <v>45359</v>
      </c>
      <c r="C917" t="s">
        <v>11</v>
      </c>
      <c r="D917" t="s">
        <v>28</v>
      </c>
      <c r="E917" t="s">
        <v>23</v>
      </c>
      <c r="F917" t="s">
        <v>33</v>
      </c>
      <c r="G917" s="2">
        <v>61051</v>
      </c>
      <c r="H917">
        <v>7</v>
      </c>
      <c r="I917" s="3">
        <v>0.1</v>
      </c>
      <c r="J917" s="2">
        <v>-618.79</v>
      </c>
    </row>
    <row r="918" spans="1:10" x14ac:dyDescent="0.35">
      <c r="A918" t="s">
        <v>943</v>
      </c>
      <c r="B918" s="1">
        <v>45578</v>
      </c>
      <c r="C918" t="s">
        <v>21</v>
      </c>
      <c r="D918" t="s">
        <v>28</v>
      </c>
      <c r="E918" t="s">
        <v>18</v>
      </c>
      <c r="F918" t="s">
        <v>14</v>
      </c>
      <c r="G918" s="2">
        <v>21708</v>
      </c>
      <c r="H918">
        <v>1</v>
      </c>
      <c r="I918" s="3">
        <v>0</v>
      </c>
      <c r="J918" s="2">
        <v>2385.1799999999998</v>
      </c>
    </row>
    <row r="919" spans="1:10" x14ac:dyDescent="0.35">
      <c r="A919" t="s">
        <v>944</v>
      </c>
      <c r="B919" s="1">
        <v>45585</v>
      </c>
      <c r="C919" t="s">
        <v>21</v>
      </c>
      <c r="D919" t="s">
        <v>17</v>
      </c>
      <c r="E919" t="s">
        <v>13</v>
      </c>
      <c r="F919" t="s">
        <v>24</v>
      </c>
      <c r="G919" s="2">
        <v>9837</v>
      </c>
      <c r="H919">
        <v>10</v>
      </c>
      <c r="I919" s="3">
        <v>0.05</v>
      </c>
      <c r="J919" s="2">
        <v>37.159999999999997</v>
      </c>
    </row>
    <row r="920" spans="1:10" x14ac:dyDescent="0.35">
      <c r="A920" t="s">
        <v>945</v>
      </c>
      <c r="B920" s="1">
        <v>45519</v>
      </c>
      <c r="C920" t="s">
        <v>11</v>
      </c>
      <c r="D920" t="s">
        <v>12</v>
      </c>
      <c r="E920" t="s">
        <v>13</v>
      </c>
      <c r="F920" t="s">
        <v>31</v>
      </c>
      <c r="G920" s="2">
        <v>95060</v>
      </c>
      <c r="H920">
        <v>4</v>
      </c>
      <c r="I920" s="3">
        <v>0.1</v>
      </c>
      <c r="J920" s="2">
        <v>12609.99</v>
      </c>
    </row>
    <row r="921" spans="1:10" x14ac:dyDescent="0.35">
      <c r="A921" t="s">
        <v>946</v>
      </c>
      <c r="B921" s="1">
        <v>45425</v>
      </c>
      <c r="C921" t="s">
        <v>21</v>
      </c>
      <c r="D921" t="s">
        <v>12</v>
      </c>
      <c r="E921" t="s">
        <v>23</v>
      </c>
      <c r="F921" t="s">
        <v>33</v>
      </c>
      <c r="G921" s="2">
        <v>75392</v>
      </c>
      <c r="H921">
        <v>1</v>
      </c>
      <c r="I921" s="3">
        <v>0.05</v>
      </c>
      <c r="J921" s="2">
        <v>11392.66</v>
      </c>
    </row>
    <row r="922" spans="1:10" x14ac:dyDescent="0.35">
      <c r="A922" t="s">
        <v>947</v>
      </c>
      <c r="B922" s="1">
        <v>45516</v>
      </c>
      <c r="C922" t="s">
        <v>16</v>
      </c>
      <c r="D922" t="s">
        <v>22</v>
      </c>
      <c r="E922" t="s">
        <v>13</v>
      </c>
      <c r="F922" t="s">
        <v>31</v>
      </c>
      <c r="G922" s="2">
        <v>34439</v>
      </c>
      <c r="H922">
        <v>2</v>
      </c>
      <c r="I922" s="3">
        <v>0.15</v>
      </c>
      <c r="J922" s="2">
        <v>1120.8</v>
      </c>
    </row>
    <row r="923" spans="1:10" x14ac:dyDescent="0.35">
      <c r="A923" t="s">
        <v>948</v>
      </c>
      <c r="B923" s="1">
        <v>45406</v>
      </c>
      <c r="C923" t="s">
        <v>11</v>
      </c>
      <c r="D923" t="s">
        <v>22</v>
      </c>
      <c r="E923" t="s">
        <v>18</v>
      </c>
      <c r="F923" t="s">
        <v>31</v>
      </c>
      <c r="G923" s="2">
        <v>16730</v>
      </c>
      <c r="H923">
        <v>9</v>
      </c>
      <c r="I923" s="3">
        <v>0.1</v>
      </c>
      <c r="J923" s="2">
        <v>1167.5</v>
      </c>
    </row>
    <row r="924" spans="1:10" x14ac:dyDescent="0.35">
      <c r="A924" t="s">
        <v>949</v>
      </c>
      <c r="B924" s="1">
        <v>45577</v>
      </c>
      <c r="C924" t="s">
        <v>16</v>
      </c>
      <c r="D924" t="s">
        <v>17</v>
      </c>
      <c r="E924" t="s">
        <v>23</v>
      </c>
      <c r="F924" t="s">
        <v>31</v>
      </c>
      <c r="G924" s="2">
        <v>76625</v>
      </c>
      <c r="H924">
        <v>5</v>
      </c>
      <c r="I924" s="3">
        <v>0.1</v>
      </c>
      <c r="J924" s="2">
        <v>2748.1</v>
      </c>
    </row>
    <row r="925" spans="1:10" x14ac:dyDescent="0.35">
      <c r="A925" t="s">
        <v>950</v>
      </c>
      <c r="B925" s="1">
        <v>45543</v>
      </c>
      <c r="C925" t="s">
        <v>11</v>
      </c>
      <c r="D925" t="s">
        <v>12</v>
      </c>
      <c r="E925" t="s">
        <v>13</v>
      </c>
      <c r="F925" t="s">
        <v>24</v>
      </c>
      <c r="G925" s="2">
        <v>92154</v>
      </c>
      <c r="H925">
        <v>10</v>
      </c>
      <c r="I925" s="3">
        <v>0.05</v>
      </c>
      <c r="J925" s="2">
        <v>1636.46</v>
      </c>
    </row>
    <row r="926" spans="1:10" x14ac:dyDescent="0.35">
      <c r="A926" t="s">
        <v>951</v>
      </c>
      <c r="B926" s="1">
        <v>45561</v>
      </c>
      <c r="C926" t="s">
        <v>16</v>
      </c>
      <c r="D926" t="s">
        <v>22</v>
      </c>
      <c r="E926" t="s">
        <v>23</v>
      </c>
      <c r="F926" t="s">
        <v>33</v>
      </c>
      <c r="G926" s="2">
        <v>33079</v>
      </c>
      <c r="H926">
        <v>7</v>
      </c>
      <c r="I926" s="3">
        <v>0</v>
      </c>
      <c r="J926" s="2">
        <v>2784.01</v>
      </c>
    </row>
    <row r="927" spans="1:10" x14ac:dyDescent="0.35">
      <c r="A927" t="s">
        <v>952</v>
      </c>
      <c r="B927" s="1">
        <v>45540</v>
      </c>
      <c r="C927" t="s">
        <v>16</v>
      </c>
      <c r="D927" t="s">
        <v>22</v>
      </c>
      <c r="E927" t="s">
        <v>13</v>
      </c>
      <c r="F927" t="s">
        <v>19</v>
      </c>
      <c r="G927" s="2">
        <v>19157</v>
      </c>
      <c r="H927">
        <v>9</v>
      </c>
      <c r="I927" s="3">
        <v>0.15</v>
      </c>
      <c r="J927" s="2">
        <v>-1034.3599999999999</v>
      </c>
    </row>
    <row r="928" spans="1:10" x14ac:dyDescent="0.35">
      <c r="A928" t="s">
        <v>953</v>
      </c>
      <c r="B928" s="1">
        <v>45515</v>
      </c>
      <c r="C928" t="s">
        <v>11</v>
      </c>
      <c r="D928" t="s">
        <v>17</v>
      </c>
      <c r="E928" t="s">
        <v>23</v>
      </c>
      <c r="F928" t="s">
        <v>33</v>
      </c>
      <c r="G928" s="2">
        <v>21409</v>
      </c>
      <c r="H928">
        <v>6</v>
      </c>
      <c r="I928" s="3">
        <v>0.15</v>
      </c>
      <c r="J928" s="2">
        <v>-565.61</v>
      </c>
    </row>
    <row r="929" spans="1:10" x14ac:dyDescent="0.35">
      <c r="A929" t="s">
        <v>954</v>
      </c>
      <c r="B929" s="1">
        <v>45429</v>
      </c>
      <c r="C929" t="s">
        <v>21</v>
      </c>
      <c r="D929" t="s">
        <v>22</v>
      </c>
      <c r="E929" t="s">
        <v>23</v>
      </c>
      <c r="F929" t="s">
        <v>24</v>
      </c>
      <c r="G929" s="2">
        <v>105914</v>
      </c>
      <c r="H929">
        <v>6</v>
      </c>
      <c r="I929" s="3">
        <v>0.1</v>
      </c>
      <c r="J929" s="2">
        <v>6636.22</v>
      </c>
    </row>
    <row r="930" spans="1:10" x14ac:dyDescent="0.35">
      <c r="A930" t="s">
        <v>955</v>
      </c>
      <c r="B930" s="1">
        <v>45367</v>
      </c>
      <c r="C930" t="s">
        <v>16</v>
      </c>
      <c r="D930" t="s">
        <v>22</v>
      </c>
      <c r="E930" t="s">
        <v>13</v>
      </c>
      <c r="F930" t="s">
        <v>33</v>
      </c>
      <c r="G930" s="2">
        <v>82847</v>
      </c>
      <c r="H930">
        <v>2</v>
      </c>
      <c r="I930" s="3">
        <v>0.05</v>
      </c>
      <c r="J930" s="2">
        <v>293.68</v>
      </c>
    </row>
    <row r="931" spans="1:10" x14ac:dyDescent="0.35">
      <c r="A931" t="s">
        <v>956</v>
      </c>
      <c r="B931" s="1">
        <v>45651</v>
      </c>
      <c r="C931" t="s">
        <v>11</v>
      </c>
      <c r="D931" t="s">
        <v>17</v>
      </c>
      <c r="E931" t="s">
        <v>18</v>
      </c>
      <c r="F931" t="s">
        <v>24</v>
      </c>
      <c r="G931" s="2">
        <v>134242</v>
      </c>
      <c r="H931">
        <v>2</v>
      </c>
      <c r="I931" s="3">
        <v>0.05</v>
      </c>
      <c r="J931" s="2">
        <v>752.22</v>
      </c>
    </row>
    <row r="932" spans="1:10" x14ac:dyDescent="0.35">
      <c r="A932" t="s">
        <v>957</v>
      </c>
      <c r="B932" s="1">
        <v>45292</v>
      </c>
      <c r="C932" t="s">
        <v>16</v>
      </c>
      <c r="D932" t="s">
        <v>17</v>
      </c>
      <c r="E932" t="s">
        <v>18</v>
      </c>
      <c r="F932" t="s">
        <v>14</v>
      </c>
      <c r="G932" s="2">
        <v>119169</v>
      </c>
      <c r="H932">
        <v>7</v>
      </c>
      <c r="I932" s="3">
        <v>0.05</v>
      </c>
      <c r="J932" s="2">
        <v>9799.31</v>
      </c>
    </row>
    <row r="933" spans="1:10" x14ac:dyDescent="0.35">
      <c r="A933" t="s">
        <v>958</v>
      </c>
      <c r="B933" s="1">
        <v>45464</v>
      </c>
      <c r="C933" t="s">
        <v>21</v>
      </c>
      <c r="D933" t="s">
        <v>22</v>
      </c>
      <c r="E933" t="s">
        <v>23</v>
      </c>
      <c r="F933" t="s">
        <v>26</v>
      </c>
      <c r="G933" s="2">
        <v>27815</v>
      </c>
      <c r="H933">
        <v>4</v>
      </c>
      <c r="I933" s="3">
        <v>0.05</v>
      </c>
      <c r="J933" s="2">
        <v>2295.17</v>
      </c>
    </row>
    <row r="934" spans="1:10" x14ac:dyDescent="0.35">
      <c r="A934" t="s">
        <v>959</v>
      </c>
      <c r="B934" s="1">
        <v>45400</v>
      </c>
      <c r="C934" t="s">
        <v>11</v>
      </c>
      <c r="D934" t="s">
        <v>28</v>
      </c>
      <c r="E934" t="s">
        <v>13</v>
      </c>
      <c r="F934" t="s">
        <v>31</v>
      </c>
      <c r="G934" s="2">
        <v>20959</v>
      </c>
      <c r="H934">
        <v>1</v>
      </c>
      <c r="I934" s="3">
        <v>0</v>
      </c>
      <c r="J934" s="2">
        <v>2418.44</v>
      </c>
    </row>
    <row r="935" spans="1:10" x14ac:dyDescent="0.35">
      <c r="A935" t="s">
        <v>960</v>
      </c>
      <c r="B935" s="1">
        <v>45374</v>
      </c>
      <c r="C935" t="s">
        <v>16</v>
      </c>
      <c r="D935" t="s">
        <v>22</v>
      </c>
      <c r="E935" t="s">
        <v>13</v>
      </c>
      <c r="F935" t="s">
        <v>31</v>
      </c>
      <c r="G935" s="2">
        <v>108599</v>
      </c>
      <c r="H935">
        <v>5</v>
      </c>
      <c r="I935" s="3">
        <v>0.05</v>
      </c>
      <c r="J935" s="2">
        <v>3676.92</v>
      </c>
    </row>
    <row r="936" spans="1:10" x14ac:dyDescent="0.35">
      <c r="A936" t="s">
        <v>961</v>
      </c>
      <c r="B936" s="1">
        <v>45466</v>
      </c>
      <c r="C936" t="s">
        <v>16</v>
      </c>
      <c r="D936" t="s">
        <v>22</v>
      </c>
      <c r="E936" t="s">
        <v>18</v>
      </c>
      <c r="F936" t="s">
        <v>24</v>
      </c>
      <c r="G936" s="2">
        <v>18534</v>
      </c>
      <c r="H936">
        <v>3</v>
      </c>
      <c r="I936" s="3">
        <v>0</v>
      </c>
      <c r="J936" s="2">
        <v>931.16</v>
      </c>
    </row>
    <row r="937" spans="1:10" x14ac:dyDescent="0.35">
      <c r="A937" t="s">
        <v>962</v>
      </c>
      <c r="B937" s="1">
        <v>45438</v>
      </c>
      <c r="C937" t="s">
        <v>16</v>
      </c>
      <c r="D937" t="s">
        <v>28</v>
      </c>
      <c r="E937" t="s">
        <v>13</v>
      </c>
      <c r="F937" t="s">
        <v>19</v>
      </c>
      <c r="G937" s="2">
        <v>107179</v>
      </c>
      <c r="H937">
        <v>6</v>
      </c>
      <c r="I937" s="3">
        <v>0.05</v>
      </c>
      <c r="J937" s="2">
        <v>2348</v>
      </c>
    </row>
    <row r="938" spans="1:10" x14ac:dyDescent="0.35">
      <c r="A938" t="s">
        <v>963</v>
      </c>
      <c r="B938" s="1">
        <v>45557</v>
      </c>
      <c r="C938" t="s">
        <v>11</v>
      </c>
      <c r="D938" t="s">
        <v>22</v>
      </c>
      <c r="E938" t="s">
        <v>18</v>
      </c>
      <c r="F938" t="s">
        <v>31</v>
      </c>
      <c r="G938" s="2">
        <v>82616</v>
      </c>
      <c r="H938">
        <v>10</v>
      </c>
      <c r="I938" s="3">
        <v>0.1</v>
      </c>
      <c r="J938" s="2">
        <v>7732.29</v>
      </c>
    </row>
    <row r="939" spans="1:10" x14ac:dyDescent="0.35">
      <c r="A939" t="s">
        <v>964</v>
      </c>
      <c r="B939" s="1">
        <v>45397</v>
      </c>
      <c r="C939" t="s">
        <v>11</v>
      </c>
      <c r="D939" t="s">
        <v>12</v>
      </c>
      <c r="E939" t="s">
        <v>23</v>
      </c>
      <c r="F939" t="s">
        <v>14</v>
      </c>
      <c r="G939" s="2">
        <v>29013</v>
      </c>
      <c r="H939">
        <v>6</v>
      </c>
      <c r="I939" s="3">
        <v>0.15</v>
      </c>
      <c r="J939" s="2">
        <v>612.29</v>
      </c>
    </row>
    <row r="940" spans="1:10" x14ac:dyDescent="0.35">
      <c r="A940" t="s">
        <v>965</v>
      </c>
      <c r="B940" s="1">
        <v>45639</v>
      </c>
      <c r="C940" t="s">
        <v>21</v>
      </c>
      <c r="D940" t="s">
        <v>17</v>
      </c>
      <c r="E940" t="s">
        <v>13</v>
      </c>
      <c r="F940" t="s">
        <v>26</v>
      </c>
      <c r="G940" s="2">
        <v>74622</v>
      </c>
      <c r="H940">
        <v>5</v>
      </c>
      <c r="I940" s="3">
        <v>0.1</v>
      </c>
      <c r="J940" s="2">
        <v>1581.87</v>
      </c>
    </row>
    <row r="941" spans="1:10" x14ac:dyDescent="0.35">
      <c r="A941" t="s">
        <v>966</v>
      </c>
      <c r="B941" s="1">
        <v>45485</v>
      </c>
      <c r="C941" t="s">
        <v>21</v>
      </c>
      <c r="D941" t="s">
        <v>28</v>
      </c>
      <c r="E941" t="s">
        <v>23</v>
      </c>
      <c r="F941" t="s">
        <v>26</v>
      </c>
      <c r="G941" s="2">
        <v>125160</v>
      </c>
      <c r="H941">
        <v>6</v>
      </c>
      <c r="I941" s="3">
        <v>0.15</v>
      </c>
      <c r="J941" s="2">
        <v>-1684.32</v>
      </c>
    </row>
    <row r="942" spans="1:10" x14ac:dyDescent="0.35">
      <c r="A942" t="s">
        <v>967</v>
      </c>
      <c r="B942" s="1">
        <v>45399</v>
      </c>
      <c r="C942" t="s">
        <v>21</v>
      </c>
      <c r="D942" t="s">
        <v>22</v>
      </c>
      <c r="E942" t="s">
        <v>23</v>
      </c>
      <c r="F942" t="s">
        <v>40</v>
      </c>
      <c r="G942" s="2">
        <v>62170</v>
      </c>
      <c r="H942">
        <v>1</v>
      </c>
      <c r="I942" s="3">
        <v>0</v>
      </c>
      <c r="J942" s="2">
        <v>6131.63</v>
      </c>
    </row>
    <row r="943" spans="1:10" x14ac:dyDescent="0.35">
      <c r="A943" t="s">
        <v>968</v>
      </c>
      <c r="B943" s="1">
        <v>45599</v>
      </c>
      <c r="C943" t="s">
        <v>16</v>
      </c>
      <c r="D943" t="s">
        <v>17</v>
      </c>
      <c r="E943" t="s">
        <v>18</v>
      </c>
      <c r="F943" t="s">
        <v>14</v>
      </c>
      <c r="G943" s="2">
        <v>17823</v>
      </c>
      <c r="H943">
        <v>2</v>
      </c>
      <c r="I943" s="3">
        <v>0.05</v>
      </c>
      <c r="J943" s="2">
        <v>1447.37</v>
      </c>
    </row>
    <row r="944" spans="1:10" x14ac:dyDescent="0.35">
      <c r="A944" t="s">
        <v>969</v>
      </c>
      <c r="B944" s="1">
        <v>45394</v>
      </c>
      <c r="C944" t="s">
        <v>21</v>
      </c>
      <c r="D944" t="s">
        <v>17</v>
      </c>
      <c r="E944" t="s">
        <v>18</v>
      </c>
      <c r="F944" t="s">
        <v>26</v>
      </c>
      <c r="G944" s="2">
        <v>39255</v>
      </c>
      <c r="H944">
        <v>6</v>
      </c>
      <c r="I944" s="3">
        <v>0.1</v>
      </c>
      <c r="J944" s="2">
        <v>5098.1899999999996</v>
      </c>
    </row>
    <row r="945" spans="1:10" x14ac:dyDescent="0.35">
      <c r="A945" t="s">
        <v>970</v>
      </c>
      <c r="B945" s="1">
        <v>45376</v>
      </c>
      <c r="C945" t="s">
        <v>21</v>
      </c>
      <c r="D945" t="s">
        <v>17</v>
      </c>
      <c r="E945" t="s">
        <v>18</v>
      </c>
      <c r="F945" t="s">
        <v>24</v>
      </c>
      <c r="G945" s="2">
        <v>94397</v>
      </c>
      <c r="H945">
        <v>1</v>
      </c>
      <c r="I945" s="3">
        <v>0.15</v>
      </c>
      <c r="J945" s="2">
        <v>-5721.84</v>
      </c>
    </row>
    <row r="946" spans="1:10" x14ac:dyDescent="0.35">
      <c r="A946" t="s">
        <v>971</v>
      </c>
      <c r="B946" s="1">
        <v>45447</v>
      </c>
      <c r="C946" t="s">
        <v>21</v>
      </c>
      <c r="D946" t="s">
        <v>12</v>
      </c>
      <c r="E946" t="s">
        <v>18</v>
      </c>
      <c r="F946" t="s">
        <v>19</v>
      </c>
      <c r="G946" s="2">
        <v>149860</v>
      </c>
      <c r="H946">
        <v>8</v>
      </c>
      <c r="I946" s="3">
        <v>0</v>
      </c>
      <c r="J946" s="2">
        <v>19927.439999999999</v>
      </c>
    </row>
    <row r="947" spans="1:10" x14ac:dyDescent="0.35">
      <c r="A947" t="s">
        <v>972</v>
      </c>
      <c r="B947" s="1">
        <v>45510</v>
      </c>
      <c r="C947" t="s">
        <v>21</v>
      </c>
      <c r="D947" t="s">
        <v>12</v>
      </c>
      <c r="E947" t="s">
        <v>13</v>
      </c>
      <c r="F947" t="s">
        <v>14</v>
      </c>
      <c r="G947" s="2">
        <v>139773</v>
      </c>
      <c r="H947">
        <v>1</v>
      </c>
      <c r="I947" s="3">
        <v>0.1</v>
      </c>
      <c r="J947" s="2">
        <v>14464.12</v>
      </c>
    </row>
    <row r="948" spans="1:10" x14ac:dyDescent="0.35">
      <c r="A948" t="s">
        <v>973</v>
      </c>
      <c r="B948" s="1">
        <v>45623</v>
      </c>
      <c r="C948" t="s">
        <v>16</v>
      </c>
      <c r="D948" t="s">
        <v>12</v>
      </c>
      <c r="E948" t="s">
        <v>18</v>
      </c>
      <c r="F948" t="s">
        <v>40</v>
      </c>
      <c r="G948" s="2">
        <v>142100</v>
      </c>
      <c r="H948">
        <v>6</v>
      </c>
      <c r="I948" s="3">
        <v>0</v>
      </c>
      <c r="J948" s="2">
        <v>12384.36</v>
      </c>
    </row>
    <row r="949" spans="1:10" x14ac:dyDescent="0.35">
      <c r="A949" t="s">
        <v>974</v>
      </c>
      <c r="B949" s="1">
        <v>45367</v>
      </c>
      <c r="C949" t="s">
        <v>21</v>
      </c>
      <c r="D949" t="s">
        <v>28</v>
      </c>
      <c r="E949" t="s">
        <v>18</v>
      </c>
      <c r="F949" t="s">
        <v>33</v>
      </c>
      <c r="G949" s="2">
        <v>142661</v>
      </c>
      <c r="H949">
        <v>6</v>
      </c>
      <c r="I949" s="3">
        <v>0.1</v>
      </c>
      <c r="J949" s="2">
        <v>-1168.26</v>
      </c>
    </row>
    <row r="950" spans="1:10" x14ac:dyDescent="0.35">
      <c r="A950" t="s">
        <v>975</v>
      </c>
      <c r="B950" s="1">
        <v>45593</v>
      </c>
      <c r="C950" t="s">
        <v>11</v>
      </c>
      <c r="D950" t="s">
        <v>28</v>
      </c>
      <c r="E950" t="s">
        <v>18</v>
      </c>
      <c r="F950" t="s">
        <v>26</v>
      </c>
      <c r="G950" s="2">
        <v>55501</v>
      </c>
      <c r="H950">
        <v>8</v>
      </c>
      <c r="I950" s="3">
        <v>0</v>
      </c>
      <c r="J950" s="2">
        <v>12837.25</v>
      </c>
    </row>
    <row r="951" spans="1:10" x14ac:dyDescent="0.35">
      <c r="A951" t="s">
        <v>976</v>
      </c>
      <c r="B951" s="1">
        <v>45297</v>
      </c>
      <c r="C951" t="s">
        <v>11</v>
      </c>
      <c r="D951" t="s">
        <v>22</v>
      </c>
      <c r="E951" t="s">
        <v>23</v>
      </c>
      <c r="F951" t="s">
        <v>40</v>
      </c>
      <c r="G951" s="2">
        <v>88312</v>
      </c>
      <c r="H951">
        <v>4</v>
      </c>
      <c r="I951" s="3">
        <v>0</v>
      </c>
      <c r="J951" s="2">
        <v>10920.44</v>
      </c>
    </row>
    <row r="952" spans="1:10" x14ac:dyDescent="0.35">
      <c r="A952" t="s">
        <v>977</v>
      </c>
      <c r="B952" s="1">
        <v>45579</v>
      </c>
      <c r="C952" t="s">
        <v>11</v>
      </c>
      <c r="D952" t="s">
        <v>28</v>
      </c>
      <c r="E952" t="s">
        <v>13</v>
      </c>
      <c r="F952" t="s">
        <v>26</v>
      </c>
      <c r="G952" s="2">
        <v>64908</v>
      </c>
      <c r="H952">
        <v>8</v>
      </c>
      <c r="I952" s="3">
        <v>0.1</v>
      </c>
      <c r="J952" s="2">
        <v>3415.05</v>
      </c>
    </row>
    <row r="953" spans="1:10" x14ac:dyDescent="0.35">
      <c r="A953" t="s">
        <v>978</v>
      </c>
      <c r="B953" s="1">
        <v>45636</v>
      </c>
      <c r="C953" t="s">
        <v>11</v>
      </c>
      <c r="D953" t="s">
        <v>17</v>
      </c>
      <c r="E953" t="s">
        <v>18</v>
      </c>
      <c r="F953" t="s">
        <v>40</v>
      </c>
      <c r="G953" s="2">
        <v>63179</v>
      </c>
      <c r="H953">
        <v>3</v>
      </c>
      <c r="I953" s="3">
        <v>0.1</v>
      </c>
      <c r="J953" s="2">
        <v>2461.37</v>
      </c>
    </row>
    <row r="954" spans="1:10" x14ac:dyDescent="0.35">
      <c r="A954" t="s">
        <v>979</v>
      </c>
      <c r="B954" s="1">
        <v>45556</v>
      </c>
      <c r="C954" t="s">
        <v>11</v>
      </c>
      <c r="D954" t="s">
        <v>22</v>
      </c>
      <c r="E954" t="s">
        <v>23</v>
      </c>
      <c r="F954" t="s">
        <v>14</v>
      </c>
      <c r="G954" s="2">
        <v>113832</v>
      </c>
      <c r="H954">
        <v>10</v>
      </c>
      <c r="I954" s="3">
        <v>0</v>
      </c>
      <c r="J954" s="2">
        <v>20560.87</v>
      </c>
    </row>
    <row r="955" spans="1:10" x14ac:dyDescent="0.35">
      <c r="A955" t="s">
        <v>980</v>
      </c>
      <c r="B955" s="1">
        <v>45539</v>
      </c>
      <c r="C955" t="s">
        <v>11</v>
      </c>
      <c r="D955" t="s">
        <v>22</v>
      </c>
      <c r="E955" t="s">
        <v>23</v>
      </c>
      <c r="F955" t="s">
        <v>14</v>
      </c>
      <c r="G955" s="2">
        <v>104257</v>
      </c>
      <c r="H955">
        <v>9</v>
      </c>
      <c r="I955" s="3">
        <v>0</v>
      </c>
      <c r="J955" s="2">
        <v>11609.06</v>
      </c>
    </row>
    <row r="956" spans="1:10" x14ac:dyDescent="0.35">
      <c r="A956" t="s">
        <v>981</v>
      </c>
      <c r="B956" s="1">
        <v>45542</v>
      </c>
      <c r="C956" t="s">
        <v>11</v>
      </c>
      <c r="D956" t="s">
        <v>28</v>
      </c>
      <c r="E956" t="s">
        <v>13</v>
      </c>
      <c r="F956" t="s">
        <v>31</v>
      </c>
      <c r="G956" s="2">
        <v>71112</v>
      </c>
      <c r="H956">
        <v>10</v>
      </c>
      <c r="I956" s="3">
        <v>0.1</v>
      </c>
      <c r="J956" s="2">
        <v>22.83</v>
      </c>
    </row>
    <row r="957" spans="1:10" x14ac:dyDescent="0.35">
      <c r="A957" t="s">
        <v>982</v>
      </c>
      <c r="B957" s="1">
        <v>45635</v>
      </c>
      <c r="C957" t="s">
        <v>21</v>
      </c>
      <c r="D957" t="s">
        <v>22</v>
      </c>
      <c r="E957" t="s">
        <v>18</v>
      </c>
      <c r="F957" t="s">
        <v>40</v>
      </c>
      <c r="G957" s="2">
        <v>49906</v>
      </c>
      <c r="H957">
        <v>3</v>
      </c>
      <c r="I957" s="3">
        <v>0.1</v>
      </c>
      <c r="J957" s="2">
        <v>6803.23</v>
      </c>
    </row>
    <row r="958" spans="1:10" x14ac:dyDescent="0.35">
      <c r="A958" t="s">
        <v>983</v>
      </c>
      <c r="B958" s="1">
        <v>45305</v>
      </c>
      <c r="C958" t="s">
        <v>21</v>
      </c>
      <c r="D958" t="s">
        <v>22</v>
      </c>
      <c r="E958" t="s">
        <v>13</v>
      </c>
      <c r="F958" t="s">
        <v>31</v>
      </c>
      <c r="G958" s="2">
        <v>100503</v>
      </c>
      <c r="H958">
        <v>2</v>
      </c>
      <c r="I958" s="3">
        <v>0.05</v>
      </c>
      <c r="J958" s="2">
        <v>16341.02</v>
      </c>
    </row>
    <row r="959" spans="1:10" x14ac:dyDescent="0.35">
      <c r="A959" t="s">
        <v>984</v>
      </c>
      <c r="B959" s="1">
        <v>45485</v>
      </c>
      <c r="C959" t="s">
        <v>16</v>
      </c>
      <c r="D959" t="s">
        <v>12</v>
      </c>
      <c r="E959" t="s">
        <v>23</v>
      </c>
      <c r="F959" t="s">
        <v>31</v>
      </c>
      <c r="G959" s="2">
        <v>77558</v>
      </c>
      <c r="H959">
        <v>4</v>
      </c>
      <c r="I959" s="3">
        <v>0.05</v>
      </c>
      <c r="J959" s="2">
        <v>13997.5</v>
      </c>
    </row>
    <row r="960" spans="1:10" x14ac:dyDescent="0.35">
      <c r="A960" t="s">
        <v>985</v>
      </c>
      <c r="B960" s="1">
        <v>45456</v>
      </c>
      <c r="C960" t="s">
        <v>11</v>
      </c>
      <c r="D960" t="s">
        <v>28</v>
      </c>
      <c r="E960" t="s">
        <v>18</v>
      </c>
      <c r="F960" t="s">
        <v>19</v>
      </c>
      <c r="G960" s="2">
        <v>29430</v>
      </c>
      <c r="H960">
        <v>5</v>
      </c>
      <c r="I960" s="3">
        <v>0</v>
      </c>
      <c r="J960" s="2">
        <v>5529.46</v>
      </c>
    </row>
    <row r="961" spans="1:10" x14ac:dyDescent="0.35">
      <c r="A961" t="s">
        <v>986</v>
      </c>
      <c r="B961" s="1">
        <v>45605</v>
      </c>
      <c r="C961" t="s">
        <v>21</v>
      </c>
      <c r="D961" t="s">
        <v>28</v>
      </c>
      <c r="E961" t="s">
        <v>23</v>
      </c>
      <c r="F961" t="s">
        <v>31</v>
      </c>
      <c r="G961" s="2">
        <v>21637</v>
      </c>
      <c r="H961">
        <v>2</v>
      </c>
      <c r="I961" s="3">
        <v>0.05</v>
      </c>
      <c r="J961" s="2">
        <v>3061.03</v>
      </c>
    </row>
    <row r="962" spans="1:10" x14ac:dyDescent="0.35">
      <c r="A962" t="s">
        <v>987</v>
      </c>
      <c r="B962" s="1">
        <v>45394</v>
      </c>
      <c r="C962" t="s">
        <v>11</v>
      </c>
      <c r="D962" t="s">
        <v>12</v>
      </c>
      <c r="E962" t="s">
        <v>23</v>
      </c>
      <c r="F962" t="s">
        <v>19</v>
      </c>
      <c r="G962" s="2">
        <v>30647</v>
      </c>
      <c r="H962">
        <v>7</v>
      </c>
      <c r="I962" s="3">
        <v>0</v>
      </c>
      <c r="J962" s="2">
        <v>1707.49</v>
      </c>
    </row>
    <row r="963" spans="1:10" x14ac:dyDescent="0.35">
      <c r="A963" t="s">
        <v>988</v>
      </c>
      <c r="B963" s="1">
        <v>45488</v>
      </c>
      <c r="C963" t="s">
        <v>16</v>
      </c>
      <c r="D963" t="s">
        <v>12</v>
      </c>
      <c r="E963" t="s">
        <v>23</v>
      </c>
      <c r="F963" t="s">
        <v>40</v>
      </c>
      <c r="G963" s="2">
        <v>84819</v>
      </c>
      <c r="H963">
        <v>1</v>
      </c>
      <c r="I963" s="3">
        <v>0.05</v>
      </c>
      <c r="J963" s="2">
        <v>11781.05</v>
      </c>
    </row>
    <row r="964" spans="1:10" x14ac:dyDescent="0.35">
      <c r="A964" t="s">
        <v>989</v>
      </c>
      <c r="B964" s="1">
        <v>45462</v>
      </c>
      <c r="C964" t="s">
        <v>21</v>
      </c>
      <c r="D964" t="s">
        <v>28</v>
      </c>
      <c r="E964" t="s">
        <v>23</v>
      </c>
      <c r="F964" t="s">
        <v>14</v>
      </c>
      <c r="G964" s="2">
        <v>41370</v>
      </c>
      <c r="H964">
        <v>7</v>
      </c>
      <c r="I964" s="3">
        <v>0.1</v>
      </c>
      <c r="J964" s="2">
        <v>-1239.53</v>
      </c>
    </row>
    <row r="965" spans="1:10" x14ac:dyDescent="0.35">
      <c r="A965" t="s">
        <v>990</v>
      </c>
      <c r="B965" s="1">
        <v>45451</v>
      </c>
      <c r="C965" t="s">
        <v>11</v>
      </c>
      <c r="D965" t="s">
        <v>12</v>
      </c>
      <c r="E965" t="s">
        <v>18</v>
      </c>
      <c r="F965" t="s">
        <v>26</v>
      </c>
      <c r="G965" s="2">
        <v>130804</v>
      </c>
      <c r="H965">
        <v>5</v>
      </c>
      <c r="I965" s="3">
        <v>0.15</v>
      </c>
      <c r="J965" s="2">
        <v>-11853.81</v>
      </c>
    </row>
    <row r="966" spans="1:10" x14ac:dyDescent="0.35">
      <c r="A966" t="s">
        <v>991</v>
      </c>
      <c r="B966" s="1">
        <v>45370</v>
      </c>
      <c r="C966" t="s">
        <v>16</v>
      </c>
      <c r="D966" t="s">
        <v>22</v>
      </c>
      <c r="E966" t="s">
        <v>18</v>
      </c>
      <c r="F966" t="s">
        <v>24</v>
      </c>
      <c r="G966" s="2">
        <v>143830</v>
      </c>
      <c r="H966">
        <v>4</v>
      </c>
      <c r="I966" s="3">
        <v>0</v>
      </c>
      <c r="J966" s="2">
        <v>7484.1</v>
      </c>
    </row>
    <row r="967" spans="1:10" x14ac:dyDescent="0.35">
      <c r="A967" t="s">
        <v>992</v>
      </c>
      <c r="B967" s="1">
        <v>45363</v>
      </c>
      <c r="C967" t="s">
        <v>16</v>
      </c>
      <c r="D967" t="s">
        <v>12</v>
      </c>
      <c r="E967" t="s">
        <v>13</v>
      </c>
      <c r="F967" t="s">
        <v>24</v>
      </c>
      <c r="G967" s="2">
        <v>92247</v>
      </c>
      <c r="H967">
        <v>8</v>
      </c>
      <c r="I967" s="3">
        <v>0.15</v>
      </c>
      <c r="J967" s="2">
        <v>3303.35</v>
      </c>
    </row>
    <row r="968" spans="1:10" x14ac:dyDescent="0.35">
      <c r="A968" t="s">
        <v>993</v>
      </c>
      <c r="B968" s="1">
        <v>45308</v>
      </c>
      <c r="C968" t="s">
        <v>16</v>
      </c>
      <c r="D968" t="s">
        <v>28</v>
      </c>
      <c r="E968" t="s">
        <v>23</v>
      </c>
      <c r="F968" t="s">
        <v>33</v>
      </c>
      <c r="G968" s="2">
        <v>64431</v>
      </c>
      <c r="H968">
        <v>7</v>
      </c>
      <c r="I968" s="3">
        <v>0.1</v>
      </c>
      <c r="J968" s="2">
        <v>-1432.47</v>
      </c>
    </row>
    <row r="969" spans="1:10" x14ac:dyDescent="0.35">
      <c r="A969" t="s">
        <v>994</v>
      </c>
      <c r="B969" s="1">
        <v>45456</v>
      </c>
      <c r="C969" t="s">
        <v>11</v>
      </c>
      <c r="D969" t="s">
        <v>17</v>
      </c>
      <c r="E969" t="s">
        <v>18</v>
      </c>
      <c r="F969" t="s">
        <v>40</v>
      </c>
      <c r="G969" s="2">
        <v>24548</v>
      </c>
      <c r="H969">
        <v>7</v>
      </c>
      <c r="I969" s="3">
        <v>0.1</v>
      </c>
      <c r="J969" s="2">
        <v>2868.11</v>
      </c>
    </row>
    <row r="970" spans="1:10" x14ac:dyDescent="0.35">
      <c r="A970" t="s">
        <v>995</v>
      </c>
      <c r="B970" s="1">
        <v>45347</v>
      </c>
      <c r="C970" t="s">
        <v>16</v>
      </c>
      <c r="D970" t="s">
        <v>12</v>
      </c>
      <c r="E970" t="s">
        <v>23</v>
      </c>
      <c r="F970" t="s">
        <v>33</v>
      </c>
      <c r="G970" s="2">
        <v>24483</v>
      </c>
      <c r="H970">
        <v>1</v>
      </c>
      <c r="I970" s="3">
        <v>0.05</v>
      </c>
      <c r="J970" s="2">
        <v>3680.42</v>
      </c>
    </row>
    <row r="971" spans="1:10" x14ac:dyDescent="0.35">
      <c r="A971" t="s">
        <v>996</v>
      </c>
      <c r="B971" s="1">
        <v>45644</v>
      </c>
      <c r="C971" t="s">
        <v>21</v>
      </c>
      <c r="D971" t="s">
        <v>28</v>
      </c>
      <c r="E971" t="s">
        <v>18</v>
      </c>
      <c r="F971" t="s">
        <v>19</v>
      </c>
      <c r="G971" s="2">
        <v>106795</v>
      </c>
      <c r="H971">
        <v>3</v>
      </c>
      <c r="I971" s="3">
        <v>0</v>
      </c>
      <c r="J971" s="2">
        <v>21426.74</v>
      </c>
    </row>
    <row r="972" spans="1:10" x14ac:dyDescent="0.35">
      <c r="A972" t="s">
        <v>997</v>
      </c>
      <c r="B972" s="1">
        <v>45614</v>
      </c>
      <c r="C972" t="s">
        <v>16</v>
      </c>
      <c r="D972" t="s">
        <v>22</v>
      </c>
      <c r="E972" t="s">
        <v>23</v>
      </c>
      <c r="F972" t="s">
        <v>33</v>
      </c>
      <c r="G972" s="2">
        <v>6394</v>
      </c>
      <c r="H972">
        <v>2</v>
      </c>
      <c r="I972" s="3">
        <v>0</v>
      </c>
      <c r="J972" s="2">
        <v>1593.75</v>
      </c>
    </row>
    <row r="973" spans="1:10" x14ac:dyDescent="0.35">
      <c r="A973" t="s">
        <v>998</v>
      </c>
      <c r="B973" s="1">
        <v>45517</v>
      </c>
      <c r="C973" t="s">
        <v>21</v>
      </c>
      <c r="D973" t="s">
        <v>28</v>
      </c>
      <c r="E973" t="s">
        <v>18</v>
      </c>
      <c r="F973" t="s">
        <v>19</v>
      </c>
      <c r="G973" s="2">
        <v>91489</v>
      </c>
      <c r="H973">
        <v>6</v>
      </c>
      <c r="I973" s="3">
        <v>0</v>
      </c>
      <c r="J973" s="2">
        <v>17080.47</v>
      </c>
    </row>
    <row r="974" spans="1:10" x14ac:dyDescent="0.35">
      <c r="A974" t="s">
        <v>999</v>
      </c>
      <c r="B974" s="1">
        <v>45634</v>
      </c>
      <c r="C974" t="s">
        <v>21</v>
      </c>
      <c r="D974" t="s">
        <v>12</v>
      </c>
      <c r="E974" t="s">
        <v>23</v>
      </c>
      <c r="F974" t="s">
        <v>24</v>
      </c>
      <c r="G974" s="2">
        <v>44533</v>
      </c>
      <c r="H974">
        <v>2</v>
      </c>
      <c r="I974" s="3">
        <v>0.05</v>
      </c>
      <c r="J974" s="2">
        <v>1911.86</v>
      </c>
    </row>
    <row r="975" spans="1:10" x14ac:dyDescent="0.35">
      <c r="A975" t="s">
        <v>1000</v>
      </c>
      <c r="B975" s="1">
        <v>45628</v>
      </c>
      <c r="C975" t="s">
        <v>11</v>
      </c>
      <c r="D975" t="s">
        <v>17</v>
      </c>
      <c r="E975" t="s">
        <v>13</v>
      </c>
      <c r="F975" t="s">
        <v>31</v>
      </c>
      <c r="G975" s="2">
        <v>25727</v>
      </c>
      <c r="H975">
        <v>2</v>
      </c>
      <c r="I975" s="3">
        <v>0</v>
      </c>
      <c r="J975" s="2">
        <v>4907.5600000000004</v>
      </c>
    </row>
    <row r="976" spans="1:10" x14ac:dyDescent="0.35">
      <c r="A976" t="s">
        <v>1001</v>
      </c>
      <c r="B976" s="1">
        <v>45623</v>
      </c>
      <c r="C976" t="s">
        <v>21</v>
      </c>
      <c r="D976" t="s">
        <v>17</v>
      </c>
      <c r="E976" t="s">
        <v>18</v>
      </c>
      <c r="F976" t="s">
        <v>24</v>
      </c>
      <c r="G976" s="2">
        <v>146314</v>
      </c>
      <c r="H976">
        <v>2</v>
      </c>
      <c r="I976" s="3">
        <v>0</v>
      </c>
      <c r="J976" s="2">
        <v>16522.45</v>
      </c>
    </row>
    <row r="977" spans="1:10" x14ac:dyDescent="0.35">
      <c r="A977" t="s">
        <v>1002</v>
      </c>
      <c r="B977" s="1">
        <v>45571</v>
      </c>
      <c r="C977" t="s">
        <v>16</v>
      </c>
      <c r="D977" t="s">
        <v>22</v>
      </c>
      <c r="E977" t="s">
        <v>18</v>
      </c>
      <c r="F977" t="s">
        <v>33</v>
      </c>
      <c r="G977" s="2">
        <v>58438</v>
      </c>
      <c r="H977">
        <v>3</v>
      </c>
      <c r="I977" s="3">
        <v>0.1</v>
      </c>
      <c r="J977" s="2">
        <v>7074.12</v>
      </c>
    </row>
    <row r="978" spans="1:10" x14ac:dyDescent="0.35">
      <c r="A978" t="s">
        <v>1003</v>
      </c>
      <c r="B978" s="1">
        <v>45397</v>
      </c>
      <c r="C978" t="s">
        <v>16</v>
      </c>
      <c r="D978" t="s">
        <v>22</v>
      </c>
      <c r="E978" t="s">
        <v>13</v>
      </c>
      <c r="F978" t="s">
        <v>24</v>
      </c>
      <c r="G978" s="2">
        <v>139614</v>
      </c>
      <c r="H978">
        <v>2</v>
      </c>
      <c r="I978" s="3">
        <v>0.05</v>
      </c>
      <c r="J978" s="2">
        <v>10027.280000000001</v>
      </c>
    </row>
    <row r="979" spans="1:10" x14ac:dyDescent="0.35">
      <c r="A979" t="s">
        <v>1004</v>
      </c>
      <c r="B979" s="1">
        <v>45621</v>
      </c>
      <c r="C979" t="s">
        <v>11</v>
      </c>
      <c r="D979" t="s">
        <v>17</v>
      </c>
      <c r="E979" t="s">
        <v>18</v>
      </c>
      <c r="F979" t="s">
        <v>19</v>
      </c>
      <c r="G979" s="2">
        <v>137867</v>
      </c>
      <c r="H979">
        <v>9</v>
      </c>
      <c r="I979" s="3">
        <v>0.1</v>
      </c>
      <c r="J979" s="2">
        <v>3762.21</v>
      </c>
    </row>
    <row r="980" spans="1:10" x14ac:dyDescent="0.35">
      <c r="A980" t="s">
        <v>1005</v>
      </c>
      <c r="B980" s="1">
        <v>45481</v>
      </c>
      <c r="C980" t="s">
        <v>11</v>
      </c>
      <c r="D980" t="s">
        <v>12</v>
      </c>
      <c r="E980" t="s">
        <v>13</v>
      </c>
      <c r="F980" t="s">
        <v>26</v>
      </c>
      <c r="G980" s="2">
        <v>130874</v>
      </c>
      <c r="H980">
        <v>2</v>
      </c>
      <c r="I980" s="3">
        <v>0.15</v>
      </c>
      <c r="J980" s="2">
        <v>6923.33</v>
      </c>
    </row>
    <row r="981" spans="1:10" x14ac:dyDescent="0.35">
      <c r="A981" t="s">
        <v>1006</v>
      </c>
      <c r="B981" s="1">
        <v>45465</v>
      </c>
      <c r="C981" t="s">
        <v>21</v>
      </c>
      <c r="D981" t="s">
        <v>12</v>
      </c>
      <c r="E981" t="s">
        <v>18</v>
      </c>
      <c r="F981" t="s">
        <v>24</v>
      </c>
      <c r="G981" s="2">
        <v>120817</v>
      </c>
      <c r="H981">
        <v>4</v>
      </c>
      <c r="I981" s="3">
        <v>0.15</v>
      </c>
      <c r="J981" s="2">
        <v>-10122.52</v>
      </c>
    </row>
    <row r="982" spans="1:10" x14ac:dyDescent="0.35">
      <c r="A982" t="s">
        <v>1007</v>
      </c>
      <c r="B982" s="1">
        <v>45434</v>
      </c>
      <c r="C982" t="s">
        <v>21</v>
      </c>
      <c r="D982" t="s">
        <v>22</v>
      </c>
      <c r="E982" t="s">
        <v>18</v>
      </c>
      <c r="F982" t="s">
        <v>40</v>
      </c>
      <c r="G982" s="2">
        <v>128024</v>
      </c>
      <c r="H982">
        <v>6</v>
      </c>
      <c r="I982" s="3">
        <v>0.1</v>
      </c>
      <c r="J982" s="2">
        <v>418.75</v>
      </c>
    </row>
    <row r="983" spans="1:10" x14ac:dyDescent="0.35">
      <c r="A983" t="s">
        <v>1008</v>
      </c>
      <c r="B983" s="1">
        <v>45519</v>
      </c>
      <c r="C983" t="s">
        <v>21</v>
      </c>
      <c r="D983" t="s">
        <v>17</v>
      </c>
      <c r="E983" t="s">
        <v>23</v>
      </c>
      <c r="F983" t="s">
        <v>40</v>
      </c>
      <c r="G983" s="2">
        <v>50676</v>
      </c>
      <c r="H983">
        <v>2</v>
      </c>
      <c r="I983" s="3">
        <v>0.1</v>
      </c>
      <c r="J983" s="2">
        <v>5275.62</v>
      </c>
    </row>
    <row r="984" spans="1:10" x14ac:dyDescent="0.35">
      <c r="A984" t="s">
        <v>1009</v>
      </c>
      <c r="B984" s="1">
        <v>45518</v>
      </c>
      <c r="C984" t="s">
        <v>21</v>
      </c>
      <c r="D984" t="s">
        <v>12</v>
      </c>
      <c r="E984" t="s">
        <v>23</v>
      </c>
      <c r="F984" t="s">
        <v>33</v>
      </c>
      <c r="G984" s="2">
        <v>147622</v>
      </c>
      <c r="H984">
        <v>3</v>
      </c>
      <c r="I984" s="3">
        <v>0.15</v>
      </c>
      <c r="J984" s="2">
        <v>2059.6</v>
      </c>
    </row>
    <row r="985" spans="1:10" x14ac:dyDescent="0.35">
      <c r="A985" t="s">
        <v>1010</v>
      </c>
      <c r="B985" s="1">
        <v>45605</v>
      </c>
      <c r="C985" t="s">
        <v>11</v>
      </c>
      <c r="D985" t="s">
        <v>22</v>
      </c>
      <c r="E985" t="s">
        <v>18</v>
      </c>
      <c r="F985" t="s">
        <v>26</v>
      </c>
      <c r="G985" s="2">
        <v>134349</v>
      </c>
      <c r="H985">
        <v>4</v>
      </c>
      <c r="I985" s="3">
        <v>0</v>
      </c>
      <c r="J985" s="2">
        <v>11886.69</v>
      </c>
    </row>
    <row r="986" spans="1:10" x14ac:dyDescent="0.35">
      <c r="A986" t="s">
        <v>1011</v>
      </c>
      <c r="B986" s="1">
        <v>45649</v>
      </c>
      <c r="C986" t="s">
        <v>21</v>
      </c>
      <c r="D986" t="s">
        <v>28</v>
      </c>
      <c r="E986" t="s">
        <v>23</v>
      </c>
      <c r="F986" t="s">
        <v>31</v>
      </c>
      <c r="G986" s="2">
        <v>24196</v>
      </c>
      <c r="H986">
        <v>10</v>
      </c>
      <c r="I986" s="3">
        <v>0</v>
      </c>
      <c r="J986" s="2">
        <v>5995.89</v>
      </c>
    </row>
    <row r="987" spans="1:10" x14ac:dyDescent="0.35">
      <c r="A987" t="s">
        <v>1012</v>
      </c>
      <c r="B987" s="1">
        <v>45598</v>
      </c>
      <c r="C987" t="s">
        <v>21</v>
      </c>
      <c r="D987" t="s">
        <v>22</v>
      </c>
      <c r="E987" t="s">
        <v>13</v>
      </c>
      <c r="F987" t="s">
        <v>26</v>
      </c>
      <c r="G987" s="2">
        <v>88910</v>
      </c>
      <c r="H987">
        <v>6</v>
      </c>
      <c r="I987" s="3">
        <v>0.05</v>
      </c>
      <c r="J987" s="2">
        <v>11117.69</v>
      </c>
    </row>
    <row r="988" spans="1:10" x14ac:dyDescent="0.35">
      <c r="A988" t="s">
        <v>1013</v>
      </c>
      <c r="B988" s="1">
        <v>45543</v>
      </c>
      <c r="C988" t="s">
        <v>21</v>
      </c>
      <c r="D988" t="s">
        <v>28</v>
      </c>
      <c r="E988" t="s">
        <v>13</v>
      </c>
      <c r="F988" t="s">
        <v>24</v>
      </c>
      <c r="G988" s="2">
        <v>145688</v>
      </c>
      <c r="H988">
        <v>3</v>
      </c>
      <c r="I988" s="3">
        <v>0.15</v>
      </c>
      <c r="J988" s="2">
        <v>-3949.1</v>
      </c>
    </row>
    <row r="989" spans="1:10" x14ac:dyDescent="0.35">
      <c r="A989" t="s">
        <v>1014</v>
      </c>
      <c r="B989" s="1">
        <v>45540</v>
      </c>
      <c r="C989" t="s">
        <v>21</v>
      </c>
      <c r="D989" t="s">
        <v>12</v>
      </c>
      <c r="E989" t="s">
        <v>13</v>
      </c>
      <c r="F989" t="s">
        <v>24</v>
      </c>
      <c r="G989" s="2">
        <v>14973</v>
      </c>
      <c r="H989">
        <v>9</v>
      </c>
      <c r="I989" s="3">
        <v>0.15</v>
      </c>
      <c r="J989" s="2">
        <v>1281.8399999999999</v>
      </c>
    </row>
    <row r="990" spans="1:10" x14ac:dyDescent="0.35">
      <c r="A990" t="s">
        <v>1015</v>
      </c>
      <c r="B990" s="1">
        <v>45413</v>
      </c>
      <c r="C990" t="s">
        <v>16</v>
      </c>
      <c r="D990" t="s">
        <v>22</v>
      </c>
      <c r="E990" t="s">
        <v>18</v>
      </c>
      <c r="F990" t="s">
        <v>24</v>
      </c>
      <c r="G990" s="2">
        <v>86902</v>
      </c>
      <c r="H990">
        <v>8</v>
      </c>
      <c r="I990" s="3">
        <v>0.15</v>
      </c>
      <c r="J990" s="2">
        <v>-3120.39</v>
      </c>
    </row>
    <row r="991" spans="1:10" x14ac:dyDescent="0.35">
      <c r="A991" t="s">
        <v>1016</v>
      </c>
      <c r="B991" s="1">
        <v>45302</v>
      </c>
      <c r="C991" t="s">
        <v>16</v>
      </c>
      <c r="D991" t="s">
        <v>22</v>
      </c>
      <c r="E991" t="s">
        <v>13</v>
      </c>
      <c r="F991" t="s">
        <v>33</v>
      </c>
      <c r="G991" s="2">
        <v>145638</v>
      </c>
      <c r="H991">
        <v>7</v>
      </c>
      <c r="I991" s="3">
        <v>0.15</v>
      </c>
      <c r="J991" s="2">
        <v>-3002.06</v>
      </c>
    </row>
    <row r="992" spans="1:10" x14ac:dyDescent="0.35">
      <c r="A992" t="s">
        <v>1017</v>
      </c>
      <c r="B992" s="1">
        <v>45573</v>
      </c>
      <c r="C992" t="s">
        <v>21</v>
      </c>
      <c r="D992" t="s">
        <v>22</v>
      </c>
      <c r="E992" t="s">
        <v>18</v>
      </c>
      <c r="F992" t="s">
        <v>24</v>
      </c>
      <c r="G992" s="2">
        <v>126189</v>
      </c>
      <c r="H992">
        <v>3</v>
      </c>
      <c r="I992" s="3">
        <v>0.05</v>
      </c>
      <c r="J992" s="2">
        <v>9774.6299999999992</v>
      </c>
    </row>
    <row r="993" spans="1:10" x14ac:dyDescent="0.35">
      <c r="A993" t="s">
        <v>1018</v>
      </c>
      <c r="B993" s="1">
        <v>45486</v>
      </c>
      <c r="C993" t="s">
        <v>11</v>
      </c>
      <c r="D993" t="s">
        <v>28</v>
      </c>
      <c r="E993" t="s">
        <v>13</v>
      </c>
      <c r="F993" t="s">
        <v>40</v>
      </c>
      <c r="G993" s="2">
        <v>63685</v>
      </c>
      <c r="H993">
        <v>6</v>
      </c>
      <c r="I993" s="3">
        <v>0.1</v>
      </c>
      <c r="J993" s="2">
        <v>5753.48</v>
      </c>
    </row>
    <row r="994" spans="1:10" x14ac:dyDescent="0.35">
      <c r="A994" t="s">
        <v>1019</v>
      </c>
      <c r="B994" s="1">
        <v>45357</v>
      </c>
      <c r="C994" t="s">
        <v>11</v>
      </c>
      <c r="D994" t="s">
        <v>17</v>
      </c>
      <c r="E994" t="s">
        <v>18</v>
      </c>
      <c r="F994" t="s">
        <v>26</v>
      </c>
      <c r="G994" s="2">
        <v>23799</v>
      </c>
      <c r="H994">
        <v>4</v>
      </c>
      <c r="I994" s="3">
        <v>0</v>
      </c>
      <c r="J994" s="2">
        <v>1760.09</v>
      </c>
    </row>
    <row r="995" spans="1:10" x14ac:dyDescent="0.35">
      <c r="A995" t="s">
        <v>1020</v>
      </c>
      <c r="B995" s="1">
        <v>45436</v>
      </c>
      <c r="C995" t="s">
        <v>21</v>
      </c>
      <c r="D995" t="s">
        <v>22</v>
      </c>
      <c r="E995" t="s">
        <v>23</v>
      </c>
      <c r="F995" t="s">
        <v>33</v>
      </c>
      <c r="G995" s="2">
        <v>10445</v>
      </c>
      <c r="H995">
        <v>10</v>
      </c>
      <c r="I995" s="3">
        <v>0.1</v>
      </c>
      <c r="J995" s="2">
        <v>441.91</v>
      </c>
    </row>
    <row r="996" spans="1:10" x14ac:dyDescent="0.35">
      <c r="A996" t="s">
        <v>1021</v>
      </c>
      <c r="B996" s="1">
        <v>45399</v>
      </c>
      <c r="C996" t="s">
        <v>21</v>
      </c>
      <c r="D996" t="s">
        <v>22</v>
      </c>
      <c r="E996" t="s">
        <v>18</v>
      </c>
      <c r="F996" t="s">
        <v>40</v>
      </c>
      <c r="G996" s="2">
        <v>54571</v>
      </c>
      <c r="H996">
        <v>9</v>
      </c>
      <c r="I996" s="3">
        <v>0.1</v>
      </c>
      <c r="J996" s="2">
        <v>6097.17</v>
      </c>
    </row>
    <row r="997" spans="1:10" x14ac:dyDescent="0.35">
      <c r="A997" t="s">
        <v>1022</v>
      </c>
      <c r="B997" s="1">
        <v>45383</v>
      </c>
      <c r="C997" t="s">
        <v>11</v>
      </c>
      <c r="D997" t="s">
        <v>12</v>
      </c>
      <c r="E997" t="s">
        <v>18</v>
      </c>
      <c r="F997" t="s">
        <v>26</v>
      </c>
      <c r="G997" s="2">
        <v>99976</v>
      </c>
      <c r="H997">
        <v>3</v>
      </c>
      <c r="I997" s="3">
        <v>0.1</v>
      </c>
      <c r="J997" s="2">
        <v>-445.15</v>
      </c>
    </row>
    <row r="998" spans="1:10" x14ac:dyDescent="0.35">
      <c r="A998" t="s">
        <v>1023</v>
      </c>
      <c r="B998" s="1">
        <v>45374</v>
      </c>
      <c r="C998" t="s">
        <v>21</v>
      </c>
      <c r="D998" t="s">
        <v>17</v>
      </c>
      <c r="E998" t="s">
        <v>23</v>
      </c>
      <c r="F998" t="s">
        <v>24</v>
      </c>
      <c r="G998" s="2">
        <v>88276</v>
      </c>
      <c r="H998">
        <v>5</v>
      </c>
      <c r="I998" s="3">
        <v>0.1</v>
      </c>
      <c r="J998" s="2">
        <v>1620.38</v>
      </c>
    </row>
    <row r="999" spans="1:10" x14ac:dyDescent="0.35">
      <c r="A999" t="s">
        <v>1024</v>
      </c>
      <c r="B999" s="1">
        <v>45605</v>
      </c>
      <c r="C999" t="s">
        <v>16</v>
      </c>
      <c r="D999" t="s">
        <v>22</v>
      </c>
      <c r="E999" t="s">
        <v>18</v>
      </c>
      <c r="F999" t="s">
        <v>31</v>
      </c>
      <c r="G999" s="2">
        <v>96722</v>
      </c>
      <c r="H999">
        <v>2</v>
      </c>
      <c r="I999" s="3">
        <v>0</v>
      </c>
      <c r="J999" s="2">
        <v>19415.88</v>
      </c>
    </row>
    <row r="1000" spans="1:10" x14ac:dyDescent="0.35">
      <c r="A1000" t="s">
        <v>1025</v>
      </c>
      <c r="B1000" s="1">
        <v>45550</v>
      </c>
      <c r="C1000" t="s">
        <v>11</v>
      </c>
      <c r="D1000" t="s">
        <v>28</v>
      </c>
      <c r="E1000" t="s">
        <v>18</v>
      </c>
      <c r="F1000" t="s">
        <v>26</v>
      </c>
      <c r="G1000" s="2">
        <v>50677</v>
      </c>
      <c r="H1000">
        <v>2</v>
      </c>
      <c r="I1000" s="3">
        <v>0.1</v>
      </c>
      <c r="J1000" s="2">
        <v>-1789.39</v>
      </c>
    </row>
    <row r="1001" spans="1:10" x14ac:dyDescent="0.35">
      <c r="A1001" t="s">
        <v>1026</v>
      </c>
      <c r="B1001" s="1">
        <v>45508</v>
      </c>
      <c r="C1001" t="s">
        <v>11</v>
      </c>
      <c r="D1001" t="s">
        <v>28</v>
      </c>
      <c r="E1001" t="s">
        <v>18</v>
      </c>
      <c r="F1001" t="s">
        <v>31</v>
      </c>
      <c r="G1001" s="2">
        <v>30547</v>
      </c>
      <c r="H1001">
        <v>9</v>
      </c>
      <c r="I1001" s="3">
        <v>0.05</v>
      </c>
      <c r="J1001" s="2">
        <v>974.92</v>
      </c>
    </row>
    <row r="1002" spans="1:10" x14ac:dyDescent="0.35">
      <c r="A1002">
        <f>COUNTA(A2:A1001)</f>
        <v>1000</v>
      </c>
      <c r="G1002" s="2">
        <f>SUM(G2:G1001)</f>
        <v>77002445</v>
      </c>
      <c r="J1002" s="2">
        <f>SUM(J2:J1001)</f>
        <v>6135849.0800000038</v>
      </c>
    </row>
  </sheetData>
  <autoFilter ref="A1:J1001" xr:uid="{00000000-0001-0000-0000-000000000000}"/>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A477B-C5B6-4C2E-9190-686049373FB0}">
  <dimension ref="A1:P6"/>
  <sheetViews>
    <sheetView showGridLines="0" tabSelected="1" zoomScale="86" zoomScaleNormal="86" workbookViewId="0">
      <selection activeCell="P9" sqref="P9"/>
    </sheetView>
  </sheetViews>
  <sheetFormatPr defaultRowHeight="14.5" x14ac:dyDescent="0.35"/>
  <cols>
    <col min="1" max="2" width="8.7265625" style="7"/>
    <col min="3" max="3" width="19.90625" style="7" customWidth="1"/>
    <col min="4" max="4" width="30.90625" style="7" bestFit="1" customWidth="1"/>
    <col min="5" max="7" width="8.7265625" style="7"/>
    <col min="8" max="8" width="28.81640625" style="7" bestFit="1" customWidth="1"/>
    <col min="9" max="9" width="8.7265625" style="7" customWidth="1"/>
    <col min="10" max="10" width="8.7265625" style="7"/>
    <col min="11" max="11" width="9.36328125" style="7" bestFit="1" customWidth="1"/>
    <col min="12" max="15" width="8.7265625" style="7"/>
    <col min="16" max="16" width="11.36328125" style="7" bestFit="1" customWidth="1"/>
    <col min="17" max="16384" width="8.7265625" style="7"/>
  </cols>
  <sheetData>
    <row r="1" spans="1:16" ht="14.5" customHeight="1" x14ac:dyDescent="0.75">
      <c r="A1" s="8"/>
      <c r="B1" s="9"/>
      <c r="C1" s="9"/>
      <c r="D1" s="19" t="s">
        <v>1044</v>
      </c>
      <c r="E1" s="20"/>
      <c r="F1" s="20"/>
      <c r="G1" s="20"/>
      <c r="H1" s="20"/>
      <c r="I1" s="20"/>
      <c r="J1" s="20"/>
      <c r="K1" s="20"/>
      <c r="L1" s="20"/>
      <c r="M1" s="20"/>
      <c r="N1" s="20"/>
      <c r="O1" s="20"/>
    </row>
    <row r="2" spans="1:16" x14ac:dyDescent="0.35">
      <c r="A2" s="9"/>
      <c r="B2" s="9"/>
      <c r="C2" s="9"/>
      <c r="D2" s="20"/>
      <c r="E2" s="20"/>
      <c r="F2" s="20"/>
      <c r="G2" s="20"/>
      <c r="H2" s="20"/>
      <c r="I2" s="20"/>
      <c r="J2" s="20"/>
      <c r="K2" s="20"/>
      <c r="L2" s="20"/>
      <c r="M2" s="20"/>
      <c r="N2" s="20"/>
      <c r="O2" s="20"/>
    </row>
    <row r="3" spans="1:16" ht="15.5" x14ac:dyDescent="0.35">
      <c r="C3" s="10"/>
      <c r="D3" s="15"/>
      <c r="H3" s="15"/>
      <c r="K3" s="15"/>
    </row>
    <row r="4" spans="1:16" ht="28.5" x14ac:dyDescent="0.65">
      <c r="D4" s="17"/>
      <c r="H4" s="17"/>
      <c r="K4" s="16"/>
    </row>
    <row r="5" spans="1:16" ht="13" customHeight="1" x14ac:dyDescent="0.35">
      <c r="C5" s="11"/>
      <c r="D5" s="11"/>
      <c r="E5" s="9"/>
      <c r="G5" s="13"/>
      <c r="H5" s="9"/>
      <c r="I5" s="9"/>
      <c r="J5" s="9"/>
      <c r="L5" s="11"/>
      <c r="M5" s="9"/>
      <c r="N5" s="9"/>
      <c r="O5" s="9"/>
    </row>
    <row r="6" spans="1:16" ht="26" x14ac:dyDescent="0.6">
      <c r="C6" s="14"/>
      <c r="D6" s="14"/>
      <c r="E6" s="14"/>
      <c r="G6" s="12"/>
      <c r="H6" s="12"/>
      <c r="I6" s="12"/>
      <c r="J6" s="12"/>
      <c r="M6" s="18"/>
      <c r="N6" s="18"/>
      <c r="P6" s="10"/>
    </row>
  </sheetData>
  <mergeCells count="2">
    <mergeCell ref="M6:N6"/>
    <mergeCell ref="D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SumofSalesbyCategory</vt:lpstr>
      <vt:lpstr>Profit by Region</vt:lpstr>
      <vt:lpstr>Monthly sales trend</vt:lpstr>
      <vt:lpstr>Top 10 Products Bar Chart</vt:lpstr>
      <vt:lpstr>Retail_Data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Yakubu Aisha</cp:lastModifiedBy>
  <dcterms:created xsi:type="dcterms:W3CDTF">2026-02-18T14:47:53Z</dcterms:created>
  <dcterms:modified xsi:type="dcterms:W3CDTF">2026-03-04T16:22:24Z</dcterms:modified>
</cp:coreProperties>
</file>